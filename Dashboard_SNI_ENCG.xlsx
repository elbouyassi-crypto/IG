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au de Bord" sheetId="1" state="visible" r:id="rId1"/>
    <sheet xmlns:r="http://schemas.openxmlformats.org/officeDocument/2006/relationships" name="Evolution Financiere" sheetId="2" state="visible" r:id="rId2"/>
    <sheet xmlns:r="http://schemas.openxmlformats.org/officeDocument/2006/relationships" name="Analyse Sectorielle" sheetId="3" state="visible" r:id="rId3"/>
    <sheet xmlns:r="http://schemas.openxmlformats.org/officeDocument/2006/relationships" name="Risque de Credit" sheetId="4" state="visible" r:id="rId4"/>
    <sheet xmlns:r="http://schemas.openxmlformats.org/officeDocument/2006/relationships" name="Donnees Brutes" sheetId="5" state="visible" r:id="rId5"/>
  </sheets>
  <definedNames>
    <definedName name="_xlnm._FilterDatabase" localSheetId="2" hidden="1">'Analyse Sectorielle'!$A$3:$J$13</definedName>
    <definedName name="_xlnm._FilterDatabase" localSheetId="4" hidden="1">'Donnees Brutes'!$A$3:$L$53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0.000"/>
  </numFmts>
  <fonts count="25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FFFFFF"/>
      <sz val="9"/>
    </font>
    <font>
      <name val="Arial"/>
      <b val="1"/>
      <color rgb="00006633"/>
      <sz val="9"/>
    </font>
    <font>
      <name val="Arial"/>
      <b val="1"/>
      <color rgb="005A7A65"/>
      <sz val="8"/>
    </font>
    <font>
      <name val="Arial"/>
      <b val="1"/>
      <color rgb="00006633"/>
      <sz val="13"/>
    </font>
    <font>
      <name val="Arial"/>
      <color rgb="005A7A65"/>
      <sz val="8"/>
    </font>
    <font>
      <name val="Arial"/>
      <b val="1"/>
      <color rgb="00D4A017"/>
      <sz val="13"/>
    </font>
    <font>
      <name val="Arial"/>
      <b val="1"/>
      <color rgb="00C0392B"/>
      <sz val="13"/>
    </font>
    <font>
      <name val="Arial"/>
      <i val="1"/>
      <color rgb="005A7A65"/>
      <sz val="8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color rgb="001A2E22"/>
      <sz val="10"/>
    </font>
    <font>
      <name val="Arial"/>
      <b val="1"/>
      <color rgb="001A2E22"/>
      <sz val="10"/>
    </font>
    <font>
      <name val="Arial"/>
      <sz val="10"/>
    </font>
    <font>
      <name val="Arial"/>
      <color rgb="00C0392B"/>
      <sz val="10"/>
    </font>
    <font>
      <name val="Arial"/>
      <b val="1"/>
      <color rgb="007A5500"/>
      <sz val="10"/>
    </font>
    <font>
      <name val="Arial"/>
      <b val="1"/>
      <color rgb="001A6E3A"/>
      <sz val="10"/>
    </font>
    <font>
      <name val="Arial"/>
      <b val="1"/>
      <color rgb="00C0392B"/>
      <sz val="10"/>
    </font>
    <font>
      <name val="Arial"/>
      <b val="1"/>
      <color rgb="00006633"/>
      <sz val="10"/>
    </font>
    <font>
      <name val="Arial"/>
      <b val="1"/>
      <color rgb="00D4A017"/>
      <sz val="10"/>
    </font>
    <font>
      <name val="Arial"/>
      <b val="1"/>
      <color rgb="00E67E22"/>
      <sz val="10"/>
    </font>
    <font>
      <name val="Arial"/>
      <b val="1"/>
      <color rgb="00FFFFFF"/>
      <sz val="12"/>
    </font>
    <font>
      <name val="Arial"/>
      <b val="1"/>
      <sz val="9"/>
    </font>
    <font>
      <name val="Arial"/>
      <sz val="9"/>
    </font>
  </fonts>
  <fills count="13">
    <fill>
      <patternFill/>
    </fill>
    <fill>
      <patternFill patternType="gray125"/>
    </fill>
    <fill>
      <patternFill patternType="solid">
        <fgColor rgb="00006633"/>
      </patternFill>
    </fill>
    <fill>
      <patternFill patternType="solid">
        <fgColor rgb="00004d26"/>
      </patternFill>
    </fill>
    <fill>
      <patternFill patternType="solid">
        <fgColor rgb="00E8F5EE"/>
      </patternFill>
    </fill>
    <fill>
      <patternFill patternType="solid">
        <fgColor rgb="00FEF8E7"/>
      </patternFill>
    </fill>
    <fill>
      <patternFill patternType="solid">
        <fgColor rgb="00FDECEA"/>
      </patternFill>
    </fill>
    <fill>
      <patternFill patternType="solid">
        <fgColor rgb="00FFFFFF"/>
      </patternFill>
    </fill>
    <fill>
      <patternFill patternType="solid">
        <fgColor rgb="00FEF3CC"/>
      </patternFill>
    </fill>
    <fill>
      <patternFill patternType="solid">
        <fgColor rgb="00D4F5E2"/>
      </patternFill>
    </fill>
    <fill>
      <patternFill patternType="solid">
        <fgColor rgb="00C0392B"/>
      </patternFill>
    </fill>
    <fill>
      <patternFill patternType="solid">
        <fgColor rgb="00D4A017"/>
      </patternFill>
    </fill>
    <fill>
      <patternFill patternType="solid">
        <fgColor rgb="00E67E22"/>
      </patternFill>
    </fill>
  </fills>
  <borders count="8">
    <border>
      <left/>
      <right/>
      <top/>
      <bottom/>
      <diagonal/>
    </border>
    <border>
      <left style="medium">
        <color rgb="00006633"/>
      </left>
      <top style="thin">
        <color rgb="00D0D0D0"/>
      </top>
      <bottom style="thin">
        <color rgb="00D0D0D0"/>
      </bottom>
    </border>
    <border>
      <right style="medium">
        <color rgb="00006633"/>
      </right>
      <top style="thin">
        <color rgb="00D0D0D0"/>
      </top>
      <bottom style="thin">
        <color rgb="00D0D0D0"/>
      </bottom>
    </border>
    <border>
      <left style="medium">
        <color rgb="00D4A017"/>
      </left>
      <top style="thin">
        <color rgb="00D0D0D0"/>
      </top>
      <bottom style="thin">
        <color rgb="00D0D0D0"/>
      </bottom>
    </border>
    <border>
      <right style="medium">
        <color rgb="00D4A017"/>
      </right>
      <top style="thin">
        <color rgb="00D0D0D0"/>
      </top>
      <bottom style="thin">
        <color rgb="00D0D0D0"/>
      </bottom>
    </border>
    <border>
      <left style="medium">
        <color rgb="00C0392B"/>
      </left>
      <top style="thin">
        <color rgb="00D0D0D0"/>
      </top>
      <bottom style="thin">
        <color rgb="00D0D0D0"/>
      </bottom>
    </border>
    <border>
      <right style="medium">
        <color rgb="00C0392B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6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4" fillId="5" borderId="3" applyAlignment="1" pivotButton="0" quotePrefix="0" xfId="0">
      <alignment horizontal="center" vertical="center" wrapText="1"/>
    </xf>
    <xf numFmtId="0" fontId="0" fillId="0" borderId="4" pivotButton="0" quotePrefix="0" xfId="0"/>
    <xf numFmtId="0" fontId="4" fillId="6" borderId="5" applyAlignment="1" pivotButton="0" quotePrefix="0" xfId="0">
      <alignment horizontal="center" vertical="center" wrapText="1"/>
    </xf>
    <xf numFmtId="0" fontId="0" fillId="0" borderId="6" pivotButton="0" quotePrefix="0" xfId="0"/>
    <xf numFmtId="0" fontId="5" fillId="4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0" fontId="8" fillId="6" borderId="5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6" fillId="5" borderId="3" applyAlignment="1" pivotButton="0" quotePrefix="0" xfId="0">
      <alignment horizontal="center" vertical="center" wrapText="1"/>
    </xf>
    <xf numFmtId="0" fontId="6" fillId="6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10" fillId="2" borderId="0" applyAlignment="1" pivotButton="0" quotePrefix="0" xfId="0">
      <alignment horizontal="center" vertical="center" wrapText="1"/>
    </xf>
    <xf numFmtId="0" fontId="11" fillId="2" borderId="7" applyAlignment="1" pivotButton="0" quotePrefix="0" xfId="0">
      <alignment horizontal="center" vertical="center" wrapText="1"/>
    </xf>
    <xf numFmtId="0" fontId="13" fillId="4" borderId="7" applyAlignment="1" pivotButton="0" quotePrefix="0" xfId="0">
      <alignment horizontal="left" vertical="center" wrapText="1"/>
    </xf>
    <xf numFmtId="164" fontId="12" fillId="4" borderId="7" applyAlignment="1" pivotButton="0" quotePrefix="0" xfId="0">
      <alignment horizontal="right" vertical="center"/>
    </xf>
    <xf numFmtId="0" fontId="12" fillId="4" borderId="7" pivotButton="0" quotePrefix="0" xfId="0"/>
    <xf numFmtId="165" fontId="14" fillId="0" borderId="0" applyAlignment="1" pivotButton="0" quotePrefix="0" xfId="0">
      <alignment horizontal="right" vertical="center"/>
    </xf>
    <xf numFmtId="0" fontId="13" fillId="5" borderId="7" applyAlignment="1" pivotButton="0" quotePrefix="0" xfId="0">
      <alignment horizontal="left" vertical="center" wrapText="1"/>
    </xf>
    <xf numFmtId="164" fontId="12" fillId="7" borderId="7" applyAlignment="1" pivotButton="0" quotePrefix="0" xfId="0">
      <alignment horizontal="right" vertical="center"/>
    </xf>
    <xf numFmtId="0" fontId="12" fillId="7" borderId="7" pivotButton="0" quotePrefix="0" xfId="0"/>
    <xf numFmtId="164" fontId="15" fillId="4" borderId="7" applyAlignment="1" pivotButton="0" quotePrefix="0" xfId="0">
      <alignment horizontal="right" vertical="center"/>
    </xf>
    <xf numFmtId="3" fontId="12" fillId="4" borderId="7" applyAlignment="1" pivotButton="0" quotePrefix="0" xfId="0">
      <alignment horizontal="right" vertical="center"/>
    </xf>
    <xf numFmtId="3" fontId="12" fillId="7" borderId="7" applyAlignment="1" pivotButton="0" quotePrefix="0" xfId="0">
      <alignment horizontal="right" vertical="center"/>
    </xf>
    <xf numFmtId="2" fontId="12" fillId="4" borderId="7" applyAlignment="1" pivotButton="0" quotePrefix="0" xfId="0">
      <alignment horizontal="right" vertical="center"/>
    </xf>
    <xf numFmtId="2" fontId="12" fillId="7" borderId="7" applyAlignment="1" pivotButton="0" quotePrefix="0" xfId="0">
      <alignment horizontal="right" vertical="center"/>
    </xf>
    <xf numFmtId="3" fontId="12" fillId="4" borderId="7" applyAlignment="1" pivotButton="0" quotePrefix="0" xfId="0">
      <alignment horizontal="center" vertical="center" wrapText="1"/>
    </xf>
    <xf numFmtId="166" fontId="12" fillId="4" borderId="7" applyAlignment="1" pivotButton="0" quotePrefix="0" xfId="0">
      <alignment horizontal="center" vertical="center" wrapText="1"/>
    </xf>
    <xf numFmtId="0" fontId="13" fillId="7" borderId="7" applyAlignment="1" pivotButton="0" quotePrefix="0" xfId="0">
      <alignment horizontal="left" vertical="center" wrapText="1"/>
    </xf>
    <xf numFmtId="3" fontId="12" fillId="7" borderId="7" applyAlignment="1" pivotButton="0" quotePrefix="0" xfId="0">
      <alignment horizontal="center" vertical="center" wrapText="1"/>
    </xf>
    <xf numFmtId="166" fontId="12" fillId="7" borderId="7" applyAlignment="1" pivotButton="0" quotePrefix="0" xfId="0">
      <alignment horizontal="center" vertical="center" wrapText="1"/>
    </xf>
    <xf numFmtId="166" fontId="16" fillId="8" borderId="7" applyAlignment="1" pivotButton="0" quotePrefix="0" xfId="0">
      <alignment horizontal="center" vertical="center" wrapText="1"/>
    </xf>
    <xf numFmtId="166" fontId="17" fillId="9" borderId="7" applyAlignment="1" pivotButton="0" quotePrefix="0" xfId="0">
      <alignment horizontal="center" vertical="center" wrapText="1"/>
    </xf>
    <xf numFmtId="166" fontId="18" fillId="6" borderId="7" applyAlignment="1" pivotButton="0" quotePrefix="0" xfId="0">
      <alignment horizontal="center" vertical="center" wrapText="1"/>
    </xf>
    <xf numFmtId="0" fontId="10" fillId="10" borderId="0" applyAlignment="1" pivotButton="0" quotePrefix="0" xfId="0">
      <alignment horizontal="center" vertical="center" wrapText="1"/>
    </xf>
    <xf numFmtId="0" fontId="19" fillId="4" borderId="0" applyAlignment="1" pivotButton="0" quotePrefix="0" xfId="0">
      <alignment horizontal="left" vertical="center" wrapText="1"/>
    </xf>
    <xf numFmtId="0" fontId="11" fillId="10" borderId="7" applyAlignment="1" pivotButton="0" quotePrefix="0" xfId="0">
      <alignment horizontal="center" vertical="center" wrapText="1"/>
    </xf>
    <xf numFmtId="49" fontId="12" fillId="4" borderId="7" applyAlignment="1" pivotButton="0" quotePrefix="0" xfId="0">
      <alignment horizontal="center" vertical="center" wrapText="1"/>
    </xf>
    <xf numFmtId="2" fontId="18" fillId="4" borderId="7" applyAlignment="1" pivotButton="0" quotePrefix="0" xfId="0">
      <alignment horizontal="right" vertical="center"/>
    </xf>
    <xf numFmtId="167" fontId="12" fillId="4" borderId="7" applyAlignment="1" pivotButton="0" quotePrefix="0" xfId="0">
      <alignment horizontal="right" vertical="center"/>
    </xf>
    <xf numFmtId="49" fontId="12" fillId="7" borderId="7" applyAlignment="1" pivotButton="0" quotePrefix="0" xfId="0">
      <alignment horizontal="center" vertical="center" wrapText="1"/>
    </xf>
    <xf numFmtId="2" fontId="18" fillId="7" borderId="7" applyAlignment="1" pivotButton="0" quotePrefix="0" xfId="0">
      <alignment horizontal="right" vertical="center"/>
    </xf>
    <xf numFmtId="167" fontId="12" fillId="7" borderId="7" applyAlignment="1" pivotButton="0" quotePrefix="0" xfId="0">
      <alignment horizontal="right" vertical="center"/>
    </xf>
    <xf numFmtId="0" fontId="12" fillId="4" borderId="7" applyAlignment="1" pivotButton="0" quotePrefix="0" xfId="0">
      <alignment horizontal="center" vertical="center" wrapText="1"/>
    </xf>
    <xf numFmtId="166" fontId="20" fillId="4" borderId="7" applyAlignment="1" pivotButton="0" quotePrefix="0" xfId="0">
      <alignment horizontal="center" vertical="center" wrapText="1"/>
    </xf>
    <xf numFmtId="0" fontId="11" fillId="11" borderId="7" applyAlignment="1" pivotButton="0" quotePrefix="0" xfId="0">
      <alignment horizontal="center" vertical="center" wrapText="1"/>
    </xf>
    <xf numFmtId="0" fontId="12" fillId="7" borderId="7" applyAlignment="1" pivotButton="0" quotePrefix="0" xfId="0">
      <alignment horizontal="center" vertical="center" wrapText="1"/>
    </xf>
    <xf numFmtId="166" fontId="20" fillId="7" borderId="7" applyAlignment="1" pivotButton="0" quotePrefix="0" xfId="0">
      <alignment horizontal="center" vertical="center" wrapText="1"/>
    </xf>
    <xf numFmtId="166" fontId="21" fillId="4" borderId="7" applyAlignment="1" pivotButton="0" quotePrefix="0" xfId="0">
      <alignment horizontal="center" vertical="center" wrapText="1"/>
    </xf>
    <xf numFmtId="0" fontId="11" fillId="12" borderId="7" applyAlignment="1" pivotButton="0" quotePrefix="0" xfId="0">
      <alignment horizontal="center" vertical="center" wrapText="1"/>
    </xf>
    <xf numFmtId="166" fontId="21" fillId="7" borderId="7" applyAlignment="1" pivotButton="0" quotePrefix="0" xfId="0">
      <alignment horizontal="center" vertical="center" wrapText="1"/>
    </xf>
    <xf numFmtId="166" fontId="19" fillId="4" borderId="7" applyAlignment="1" pivotButton="0" quotePrefix="0" xfId="0">
      <alignment horizontal="center" vertical="center" wrapText="1"/>
    </xf>
    <xf numFmtId="166" fontId="18" fillId="7" borderId="7" applyAlignment="1" pivotButton="0" quotePrefix="0" xfId="0">
      <alignment horizontal="center" vertical="center" wrapText="1"/>
    </xf>
    <xf numFmtId="0" fontId="22" fillId="3" borderId="0" applyAlignment="1" pivotButton="0" quotePrefix="0" xfId="0">
      <alignment horizontal="center" vertical="center" wrapText="1"/>
    </xf>
    <xf numFmtId="0" fontId="23" fillId="4" borderId="7" applyAlignment="1" pivotButton="0" quotePrefix="0" xfId="0">
      <alignment horizontal="left" vertical="center" wrapText="1"/>
    </xf>
    <xf numFmtId="0" fontId="24" fillId="4" borderId="7" applyAlignment="1" pivotButton="0" quotePrefix="0" xfId="0">
      <alignment horizontal="center" vertical="center" wrapText="1"/>
    </xf>
    <xf numFmtId="164" fontId="24" fillId="4" borderId="7" applyAlignment="1" pivotButton="0" quotePrefix="0" xfId="0">
      <alignment horizontal="right" vertical="center"/>
    </xf>
    <xf numFmtId="0" fontId="23" fillId="7" borderId="7" applyAlignment="1" pivotButton="0" quotePrefix="0" xfId="0">
      <alignment horizontal="left" vertical="center" wrapText="1"/>
    </xf>
    <xf numFmtId="0" fontId="24" fillId="7" borderId="7" applyAlignment="1" pivotButton="0" quotePrefix="0" xfId="0">
      <alignment horizontal="center" vertical="center" wrapText="1"/>
    </xf>
    <xf numFmtId="164" fontId="24" fillId="7" borderId="7" applyAlignment="1" pivotButton="0" quotePrefix="0" xfId="0">
      <alignment horizontal="right" vertical="center"/>
    </xf>
    <xf numFmtId="164" fontId="24" fillId="9" borderId="7" applyAlignment="1" pivotButton="0" quotePrefix="0" xfId="0">
      <alignment horizontal="right" vertical="center"/>
    </xf>
    <xf numFmtId="164" fontId="24" fillId="6" borderId="7" applyAlignment="1" pivotButton="0" quotePrefix="0" xfId="0">
      <alignment horizontal="right" vertical="center"/>
    </xf>
    <xf numFmtId="164" fontId="24" fillId="8" borderId="7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 &amp; EBE médians (M MAD)</a:t>
            </a:r>
          </a:p>
        </rich>
      </tx>
    </title>
    <plotArea>
      <lineChart>
        <grouping val="standard"/>
        <ser>
          <idx val="0"/>
          <order val="0"/>
          <spPr>
            <a:ln xmlns:a="http://schemas.openxmlformats.org/drawingml/2006/main" w="25000">
              <a:solidFill>
                <a:srgbClr val="00663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'Evolution Financiere'!$B$3:$F$3</f>
            </numRef>
          </cat>
          <val>
            <numRef>
              <f>'Evolution Financiere'!$B$4</f>
            </numRef>
          </val>
        </ser>
        <ser>
          <idx val="1"/>
          <order val="1"/>
          <spPr>
            <a:ln xmlns:a="http://schemas.openxmlformats.org/drawingml/2006/main" w="25000">
              <a:solidFill>
                <a:srgbClr val="D4A01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'Evolution Financiere'!$B$3:$F$3</f>
            </numRef>
          </cat>
          <val>
            <numRef>
              <f>'Evolution Financiere'!$C$4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'Evolution Financiere'!$B$3:$F$3</f>
            </numRef>
          </cat>
          <val>
            <numRef>
              <f>'Evolution Financiere'!$D$4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'Evolution Financiere'!$B$3:$F$3</f>
            </numRef>
          </cat>
          <val>
            <numRef>
              <f>'Evolution Financiere'!$E$4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'Evolution Financiere'!$B$3:$F$3</f>
            </numRef>
          </cat>
          <val>
            <numRef>
              <f>'Evolution Financiere'!$F$4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'Evolution Financiere'!$B$3:$F$3</f>
            </numRef>
          </cat>
          <val>
            <numRef>
              <f>'Evolution Financiere'!$B$6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'Evolution Financiere'!$B$3:$F$3</f>
            </numRef>
          </cat>
          <val>
            <numRef>
              <f>'Evolution Financiere'!$C$6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'Evolution Financiere'!$B$3:$F$3</f>
            </numRef>
          </cat>
          <val>
            <numRef>
              <f>'Evolution Financiere'!$D$6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'Evolution Financiere'!$B$3:$F$3</f>
            </numRef>
          </cat>
          <val>
            <numRef>
              <f>'Evolution Financiere'!$E$6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'Evolution Financiere'!$B$3:$F$3</f>
            </numRef>
          </cat>
          <val>
            <numRef>
              <f>'Evolution Financiere'!$F$6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Taux de Défaut (%) par année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 xmlns:a="http://schemas.openxmlformats.org/drawingml/2006/main">
              <a:srgbClr val="C0392B"/>
            </a:solidFill>
            <a:ln xmlns:a="http://schemas.openxmlformats.org/drawingml/2006/main">
              <a:prstDash val="solid"/>
            </a:ln>
          </spPr>
          <cat>
            <numRef>
              <f>'Evolution Financiere'!$B$3:$F$3</f>
            </numRef>
          </cat>
          <val>
            <numRef>
              <f>'Evolution Financiere'!$B$20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cat>
            <numRef>
              <f>'Evolution Financiere'!$B$3:$F$3</f>
            </numRef>
          </cat>
          <val>
            <numRef>
              <f>'Evolution Financiere'!$C$20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cat>
            <numRef>
              <f>'Evolution Financiere'!$B$3:$F$3</f>
            </numRef>
          </cat>
          <val>
            <numRef>
              <f>'Evolution Financiere'!$D$20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cat>
            <numRef>
              <f>'Evolution Financiere'!$B$3:$F$3</f>
            </numRef>
          </cat>
          <val>
            <numRef>
              <f>'Evolution Financiere'!$E$20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cat>
            <numRef>
              <f>'Evolution Financiere'!$B$3:$F$3</f>
            </numRef>
          </cat>
          <val>
            <numRef>
              <f>'Evolution Financiere'!$F$20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Nb entreprises par secteur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'Analyse Sectorielle'!B3</f>
            </strRef>
          </tx>
          <spPr>
            <a:solidFill xmlns:a="http://schemas.openxmlformats.org/drawingml/2006/main">
              <a:srgbClr val="006633"/>
            </a:solidFill>
            <a:ln xmlns:a="http://schemas.openxmlformats.org/drawingml/2006/main">
              <a:prstDash val="solid"/>
            </a:ln>
          </spPr>
          <cat>
            <numRef>
              <f>'Analyse Sectorielle'!$A$4:$A$13</f>
            </numRef>
          </cat>
          <val>
            <numRef>
              <f>'Analyse Sectorielle'!$B$4:$B$13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 médian par secteur (M MAD)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'Analyse Sectorielle'!D3</f>
            </strRef>
          </tx>
          <spPr>
            <a:solidFill xmlns:a="http://schemas.openxmlformats.org/drawingml/2006/main">
              <a:srgbClr val="D4A017"/>
            </a:solidFill>
            <a:ln xmlns:a="http://schemas.openxmlformats.org/drawingml/2006/main">
              <a:prstDash val="solid"/>
            </a:ln>
          </spPr>
          <cat>
            <numRef>
              <f>'Analyse Sectorielle'!$A$4:$A$13</f>
            </numRef>
          </cat>
          <val>
            <numRef>
              <f>'Analyse Sectorielle'!$D$4:$D$13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Taux défaut par secteur (%)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'Analyse Sectorielle'!J3</f>
            </strRef>
          </tx>
          <spPr>
            <a:solidFill xmlns:a="http://schemas.openxmlformats.org/drawingml/2006/main">
              <a:srgbClr val="C0392B"/>
            </a:solidFill>
            <a:ln xmlns:a="http://schemas.openxmlformats.org/drawingml/2006/main">
              <a:prstDash val="solid"/>
            </a:ln>
          </spPr>
          <cat>
            <numRef>
              <f>'Analyse Sectorielle'!$A$4:$A$13</f>
            </numRef>
          </cat>
          <val>
            <numRef>
              <f>'Analyse Sectorielle'!$J$4:$J$13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Sains vs Défaillants</a:t>
            </a:r>
          </a:p>
        </rich>
      </tx>
    </title>
    <plotArea>
      <doughnutChart>
        <varyColors val="1"/>
        <ser>
          <idx val="0"/>
          <order val="0"/>
          <tx>
            <strRef>
              <f>'Risque de Credit'!K1</f>
            </strRef>
          </tx>
          <spPr>
            <a:ln xmlns:a="http://schemas.openxmlformats.org/drawingml/2006/main">
              <a:prstDash val="solid"/>
            </a:ln>
          </spPr>
          <cat>
            <numRef>
              <f>'Risque de Credit'!$J$2:$J$3</f>
            </numRef>
          </cat>
          <val>
            <numRef>
              <f>'Risque de Credit'!$K$2:$K$3</f>
            </numRef>
          </val>
        </ser>
        <firstSliceAng val="0"/>
        <holeSize val="10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Relationship Type="http://schemas.openxmlformats.org/officeDocument/2006/relationships/chart" Target="/xl/charts/chart5.xml" Id="rId3"/></Relationships>
</file>

<file path=xl/drawings/_rels/drawing3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23</row>
      <rowOff>0</rowOff>
    </from>
    <ext cx="7920000" cy="46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14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11</col>
      <colOff>0</colOff>
      <row>14</row>
      <rowOff>0</rowOff>
    </from>
    <ext cx="792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34</row>
      <rowOff>0</rowOff>
    </from>
    <ext cx="7920000" cy="50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9</col>
      <colOff>0</colOff>
      <row>3</row>
      <rowOff>0</rowOff>
    </from>
    <ext cx="504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32" customHeight="1">
      <c r="A1" s="1" t="inlineStr">
        <is>
          <t>DASHBOARD SNI — Analyse Financière &amp; Risque de Crédit</t>
        </is>
      </c>
    </row>
    <row r="2"/>
    <row r="3"/>
    <row r="4" ht="15" customHeight="1">
      <c r="A4" s="2" t="inlineStr">
        <is>
          <t>ENCG Settat — Université Hassan 1er  |  Base de Données 2015–2019  |  482 entreprises  |  1 521 observations</t>
        </is>
      </c>
    </row>
    <row r="6" ht="16" customHeight="1">
      <c r="A6" s="3" t="inlineStr">
        <is>
          <t>INDICATEURS CLÉS DU PORTEFEUILLE</t>
        </is>
      </c>
    </row>
    <row r="7" ht="15" customHeight="1">
      <c r="A7" s="4" t="inlineStr">
        <is>
          <t>Entreprises</t>
        </is>
      </c>
      <c r="B7" s="5" t="n"/>
      <c r="C7" s="6" t="inlineStr">
        <is>
          <t>CA médian</t>
        </is>
      </c>
      <c r="D7" s="7" t="n"/>
      <c r="E7" s="4" t="inlineStr">
        <is>
          <t>Résultat Net</t>
        </is>
      </c>
      <c r="F7" s="5" t="n"/>
      <c r="G7" s="6" t="inlineStr">
        <is>
          <t>EBE médian</t>
        </is>
      </c>
      <c r="H7" s="7" t="n"/>
      <c r="I7" s="8" t="inlineStr">
        <is>
          <t>Taux de défaut</t>
        </is>
      </c>
      <c r="J7" s="9" t="n"/>
      <c r="K7" s="4" t="inlineStr">
        <is>
          <t>Total Bilan</t>
        </is>
      </c>
      <c r="L7" s="5" t="n"/>
    </row>
    <row r="8" ht="22" customHeight="1">
      <c r="A8" s="10" t="inlineStr">
        <is>
          <t>482</t>
        </is>
      </c>
      <c r="B8" s="5" t="n"/>
      <c r="C8" s="11" t="inlineStr">
        <is>
          <t>369 M MAD</t>
        </is>
      </c>
      <c r="D8" s="7" t="n"/>
      <c r="E8" s="10" t="inlineStr">
        <is>
          <t>7,2 M MAD</t>
        </is>
      </c>
      <c r="F8" s="5" t="n"/>
      <c r="G8" s="11" t="inlineStr">
        <is>
          <t>23,5 M MAD</t>
        </is>
      </c>
      <c r="H8" s="7" t="n"/>
      <c r="I8" s="12" t="inlineStr">
        <is>
          <t>3,48 %</t>
        </is>
      </c>
      <c r="J8" s="9" t="n"/>
      <c r="K8" s="10" t="inlineStr">
        <is>
          <t>369 M MAD</t>
        </is>
      </c>
      <c r="L8" s="5" t="n"/>
    </row>
    <row r="9" ht="13" customHeight="1">
      <c r="A9" s="13" t="inlineStr">
        <is>
          <t>uniques</t>
        </is>
      </c>
      <c r="B9" s="5" t="n"/>
      <c r="C9" s="14" t="inlineStr">
        <is>
          <t>médiane 2015-2019</t>
        </is>
      </c>
      <c r="D9" s="7" t="n"/>
      <c r="E9" s="13" t="inlineStr">
        <is>
          <t>médiane globale</t>
        </is>
      </c>
      <c r="F9" s="5" t="n"/>
      <c r="G9" s="14" t="inlineStr">
        <is>
          <t>médiane globale</t>
        </is>
      </c>
      <c r="H9" s="7" t="n"/>
      <c r="I9" s="15" t="inlineStr">
        <is>
          <t>53 défauts / 1521</t>
        </is>
      </c>
      <c r="J9" s="9" t="n"/>
      <c r="K9" s="13" t="inlineStr">
        <is>
          <t>médiane globale</t>
        </is>
      </c>
      <c r="L9" s="5" t="n"/>
    </row>
    <row r="11" ht="15" customHeight="1">
      <c r="A11" s="6" t="inlineStr">
        <is>
          <t>Capitaux Propres</t>
        </is>
      </c>
      <c r="B11" s="7" t="n"/>
      <c r="C11" s="4" t="inlineStr">
        <is>
          <t>Marge Nette</t>
        </is>
      </c>
      <c r="D11" s="5" t="n"/>
      <c r="E11" s="6" t="inlineStr">
        <is>
          <t>SA (forme dom.)</t>
        </is>
      </c>
      <c r="F11" s="7" t="n"/>
      <c r="G11" s="4" t="inlineStr">
        <is>
          <t>En groupe</t>
        </is>
      </c>
      <c r="H11" s="5" t="n"/>
      <c r="I11" s="6" t="inlineStr">
        <is>
          <t>Cotées bourse</t>
        </is>
      </c>
      <c r="J11" s="7" t="n"/>
      <c r="K11" s="4" t="inlineStr">
        <is>
          <t>Secteurs</t>
        </is>
      </c>
      <c r="L11" s="5" t="n"/>
    </row>
    <row r="12" ht="22" customHeight="1">
      <c r="A12" s="11" t="inlineStr">
        <is>
          <t>95 M MAD</t>
        </is>
      </c>
      <c r="B12" s="7" t="n"/>
      <c r="C12" s="10" t="inlineStr">
        <is>
          <t>1,8 %</t>
        </is>
      </c>
      <c r="D12" s="5" t="n"/>
      <c r="E12" s="11" t="inlineStr">
        <is>
          <t>71,5 %</t>
        </is>
      </c>
      <c r="F12" s="7" t="n"/>
      <c r="G12" s="10" t="inlineStr">
        <is>
          <t>62,1 %</t>
        </is>
      </c>
      <c r="H12" s="5" t="n"/>
      <c r="I12" s="11" t="inlineStr">
        <is>
          <t>3,8 %</t>
        </is>
      </c>
      <c r="J12" s="7" t="n"/>
      <c r="K12" s="10" t="inlineStr">
        <is>
          <t>17</t>
        </is>
      </c>
      <c r="L12" s="5" t="n"/>
    </row>
    <row r="13" ht="13" customHeight="1">
      <c r="A13" s="14" t="inlineStr">
        <is>
          <t>médiane globale</t>
        </is>
      </c>
      <c r="B13" s="7" t="n"/>
      <c r="C13" s="13" t="inlineStr">
        <is>
          <t>médiane globale</t>
        </is>
      </c>
      <c r="D13" s="5" t="n"/>
      <c r="E13" s="14" t="inlineStr">
        <is>
          <t>1 088 / 1 521</t>
        </is>
      </c>
      <c r="F13" s="7" t="n"/>
      <c r="G13" s="13" t="inlineStr">
        <is>
          <t>945 / 1 521</t>
        </is>
      </c>
      <c r="H13" s="5" t="n"/>
      <c r="I13" s="14" t="inlineStr">
        <is>
          <t>58 / 1 521</t>
        </is>
      </c>
      <c r="J13" s="7" t="n"/>
      <c r="K13" s="13" t="inlineStr">
        <is>
          <t>dans la base</t>
        </is>
      </c>
      <c r="L13" s="5" t="n"/>
    </row>
    <row r="15" ht="14" customHeight="1">
      <c r="A15" s="16" t="inlineStr">
        <is>
          <t>Source : Base_de_donnes_-_SNI.xlsx — Base Keep  |  Généré le 28/03/2026  |  ENCG Settat</t>
        </is>
      </c>
    </row>
  </sheetData>
  <mergeCells count="40">
    <mergeCell ref="E12:F12"/>
    <mergeCell ref="G12:H12"/>
    <mergeCell ref="A11:B11"/>
    <mergeCell ref="G11:H11"/>
    <mergeCell ref="K9:L9"/>
    <mergeCell ref="I11:J11"/>
    <mergeCell ref="G8:H8"/>
    <mergeCell ref="E8:F8"/>
    <mergeCell ref="K11:L11"/>
    <mergeCell ref="A7:B7"/>
    <mergeCell ref="G7:H7"/>
    <mergeCell ref="I7:J7"/>
    <mergeCell ref="K13:L13"/>
    <mergeCell ref="E13:F13"/>
    <mergeCell ref="C9:D9"/>
    <mergeCell ref="G13:H13"/>
    <mergeCell ref="E9:F9"/>
    <mergeCell ref="A4:L4"/>
    <mergeCell ref="A12:B12"/>
    <mergeCell ref="C12:D12"/>
    <mergeCell ref="I12:J12"/>
    <mergeCell ref="K12:L12"/>
    <mergeCell ref="K8:L8"/>
    <mergeCell ref="C11:D11"/>
    <mergeCell ref="E11:F11"/>
    <mergeCell ref="I8:J8"/>
    <mergeCell ref="A8:B8"/>
    <mergeCell ref="C8:D8"/>
    <mergeCell ref="K7:L7"/>
    <mergeCell ref="A15:L15"/>
    <mergeCell ref="C7:D7"/>
    <mergeCell ref="E7:F7"/>
    <mergeCell ref="A1:L3"/>
    <mergeCell ref="A6:L6"/>
    <mergeCell ref="A13:B13"/>
    <mergeCell ref="C13:D13"/>
    <mergeCell ref="I13:J13"/>
    <mergeCell ref="A9:B9"/>
    <mergeCell ref="G9:H9"/>
    <mergeCell ref="I9:J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4" customHeight="1">
      <c r="A1" s="17" t="inlineStr">
        <is>
          <t>ÉVOLUTION FINANCIÈRE — Indicateurs médians par année (M MAD)</t>
        </is>
      </c>
    </row>
    <row r="2"/>
    <row r="3" ht="26" customHeight="1">
      <c r="A3" s="18" t="inlineStr">
        <is>
          <t>Indicateur</t>
        </is>
      </c>
      <c r="B3" s="18" t="inlineStr">
        <is>
          <t>2015</t>
        </is>
      </c>
      <c r="C3" s="18" t="inlineStr">
        <is>
          <t>2016</t>
        </is>
      </c>
      <c r="D3" s="18" t="inlineStr">
        <is>
          <t>2017</t>
        </is>
      </c>
      <c r="E3" s="18" t="inlineStr">
        <is>
          <t>2018</t>
        </is>
      </c>
      <c r="F3" s="18" t="inlineStr">
        <is>
          <t>2019</t>
        </is>
      </c>
      <c r="G3" s="18" t="inlineStr">
        <is>
          <t>Var. 15→19</t>
        </is>
      </c>
    </row>
    <row r="4" ht="18" customHeight="1">
      <c r="A4" s="19" t="inlineStr">
        <is>
          <t>Chiffre d'Affaires (CA)</t>
        </is>
      </c>
      <c r="B4" s="20" t="n">
        <v>357.83</v>
      </c>
      <c r="C4" s="20" t="n">
        <v>382.32</v>
      </c>
      <c r="D4" s="20" t="n">
        <v>341.08</v>
      </c>
      <c r="E4" s="20" t="n">
        <v>369</v>
      </c>
      <c r="F4" s="20" t="n">
        <v>384.72</v>
      </c>
      <c r="G4" s="21" t="n"/>
      <c r="H4" s="22">
        <f>(G4-B4)/ABS(B4)</f>
        <v/>
      </c>
    </row>
    <row r="5" ht="18" customHeight="1">
      <c r="A5" s="23" t="inlineStr">
        <is>
          <t>Résultat Net</t>
        </is>
      </c>
      <c r="B5" s="24" t="n">
        <v>5.73</v>
      </c>
      <c r="C5" s="24" t="n">
        <v>7.3</v>
      </c>
      <c r="D5" s="24" t="n">
        <v>8.68</v>
      </c>
      <c r="E5" s="24" t="n">
        <v>7.53</v>
      </c>
      <c r="F5" s="24" t="n">
        <v>7.67</v>
      </c>
      <c r="G5" s="25" t="n"/>
      <c r="H5" s="22">
        <f>(G5-B5)/ABS(B5)</f>
        <v/>
      </c>
    </row>
    <row r="6" ht="18" customHeight="1">
      <c r="A6" s="19" t="inlineStr">
        <is>
          <t>EBE</t>
        </is>
      </c>
      <c r="B6" s="20" t="n">
        <v>19.78</v>
      </c>
      <c r="C6" s="20" t="n">
        <v>27.12</v>
      </c>
      <c r="D6" s="20" t="n">
        <v>23.9</v>
      </c>
      <c r="E6" s="20" t="n">
        <v>22.67</v>
      </c>
      <c r="F6" s="20" t="n">
        <v>24.16</v>
      </c>
      <c r="G6" s="21" t="n"/>
      <c r="H6" s="22">
        <f>(G6-B6)/ABS(B6)</f>
        <v/>
      </c>
    </row>
    <row r="7" ht="18" customHeight="1">
      <c r="A7" s="23" t="inlineStr">
        <is>
          <t>Capitaux Propres</t>
        </is>
      </c>
      <c r="B7" s="24" t="n">
        <v>89.40000000000001</v>
      </c>
      <c r="C7" s="24" t="n">
        <v>101.48</v>
      </c>
      <c r="D7" s="24" t="n">
        <v>98.44</v>
      </c>
      <c r="E7" s="24" t="n">
        <v>98.94</v>
      </c>
      <c r="F7" s="24" t="n">
        <v>94.94</v>
      </c>
      <c r="G7" s="25" t="n"/>
      <c r="H7" s="22">
        <f>(G7-B7)/ABS(B7)</f>
        <v/>
      </c>
    </row>
    <row r="8" ht="18" customHeight="1">
      <c r="A8" s="19" t="inlineStr">
        <is>
          <t>Total Bilan</t>
        </is>
      </c>
      <c r="B8" s="20" t="n">
        <v>328.9</v>
      </c>
      <c r="C8" s="20" t="n">
        <v>372.06</v>
      </c>
      <c r="D8" s="20" t="n">
        <v>369.71</v>
      </c>
      <c r="E8" s="20" t="n">
        <v>370.93</v>
      </c>
      <c r="F8" s="20" t="n">
        <v>375.05</v>
      </c>
      <c r="G8" s="21" t="n"/>
      <c r="H8" s="22">
        <f>(G8-B8)/ABS(B8)</f>
        <v/>
      </c>
    </row>
    <row r="9" ht="18" customHeight="1">
      <c r="A9" s="23" t="inlineStr">
        <is>
          <t>Dette Financière</t>
        </is>
      </c>
      <c r="B9" s="24" t="n">
        <v>9.210000000000001</v>
      </c>
      <c r="C9" s="24" t="n">
        <v>8.44</v>
      </c>
      <c r="D9" s="24" t="n">
        <v>7.75</v>
      </c>
      <c r="E9" s="24" t="n">
        <v>8.73</v>
      </c>
      <c r="F9" s="24" t="n">
        <v>7.6</v>
      </c>
      <c r="G9" s="25" t="n"/>
      <c r="H9" s="22">
        <f>(G9-B9)/ABS(B9)</f>
        <v/>
      </c>
    </row>
    <row r="10" ht="18" customHeight="1">
      <c r="A10" s="19" t="inlineStr">
        <is>
          <t>Fonds de Roulement</t>
        </is>
      </c>
      <c r="B10" s="20" t="n">
        <v>99.39</v>
      </c>
      <c r="C10" s="20" t="n">
        <v>111.11</v>
      </c>
      <c r="D10" s="20" t="n">
        <v>112.16</v>
      </c>
      <c r="E10" s="20" t="n">
        <v>111.22</v>
      </c>
      <c r="F10" s="20" t="n">
        <v>104.66</v>
      </c>
      <c r="G10" s="21" t="n"/>
      <c r="H10" s="22">
        <f>(G10-B10)/ABS(B10)</f>
        <v/>
      </c>
    </row>
    <row r="11" ht="18" customHeight="1">
      <c r="A11" s="23" t="inlineStr">
        <is>
          <t>Besoin Fonds Roulement</t>
        </is>
      </c>
      <c r="B11" s="24" t="n">
        <v>156.88</v>
      </c>
      <c r="C11" s="24" t="n">
        <v>167.67</v>
      </c>
      <c r="D11" s="24" t="n">
        <v>177.19</v>
      </c>
      <c r="E11" s="24" t="n">
        <v>179.61</v>
      </c>
      <c r="F11" s="24" t="n">
        <v>164.19</v>
      </c>
      <c r="G11" s="25" t="n"/>
      <c r="H11" s="22">
        <f>(G11-B11)/ABS(B11)</f>
        <v/>
      </c>
    </row>
    <row r="12" ht="18" customHeight="1">
      <c r="A12" s="19" t="inlineStr">
        <is>
          <t>Trésorerie Nette</t>
        </is>
      </c>
      <c r="B12" s="26" t="n">
        <v>-32.2</v>
      </c>
      <c r="C12" s="26" t="n">
        <v>-33.74</v>
      </c>
      <c r="D12" s="26" t="n">
        <v>-37.34</v>
      </c>
      <c r="E12" s="26" t="n">
        <v>-33.25</v>
      </c>
      <c r="F12" s="26" t="n">
        <v>-46.74</v>
      </c>
      <c r="G12" s="21" t="n"/>
      <c r="H12" s="22">
        <f>(G12-B12)/ABS(B12)</f>
        <v/>
      </c>
    </row>
    <row r="13" ht="18" customHeight="1">
      <c r="A13" s="23" t="inlineStr">
        <is>
          <t>Auto-financement</t>
        </is>
      </c>
      <c r="B13" s="24" t="n">
        <v>7.18</v>
      </c>
      <c r="C13" s="24" t="n">
        <v>10.59</v>
      </c>
      <c r="D13" s="24" t="n">
        <v>11.36</v>
      </c>
      <c r="E13" s="24" t="n">
        <v>8.58</v>
      </c>
      <c r="F13" s="24" t="n">
        <v>8.699999999999999</v>
      </c>
      <c r="G13" s="25" t="n"/>
      <c r="H13" s="22">
        <f>(G13-B13)/ABS(B13)</f>
        <v/>
      </c>
    </row>
    <row r="14" ht="18" customHeight="1">
      <c r="A14" s="19" t="inlineStr">
        <is>
          <t>Frais Financiers</t>
        </is>
      </c>
      <c r="B14" s="20" t="n">
        <v>7.25</v>
      </c>
      <c r="C14" s="20" t="n">
        <v>6.69</v>
      </c>
      <c r="D14" s="20" t="n">
        <v>6.75</v>
      </c>
      <c r="E14" s="20" t="n">
        <v>7.46</v>
      </c>
      <c r="F14" s="20" t="n">
        <v>6.19</v>
      </c>
      <c r="G14" s="21" t="n"/>
      <c r="H14" s="22">
        <f>(G14-B14)/ABS(B14)</f>
        <v/>
      </c>
    </row>
    <row r="15" ht="18" customHeight="1">
      <c r="A15" s="23" t="inlineStr">
        <is>
          <t>Stock</t>
        </is>
      </c>
      <c r="B15" s="24" t="n">
        <v>58.14</v>
      </c>
      <c r="C15" s="24" t="n">
        <v>66.43000000000001</v>
      </c>
      <c r="D15" s="24" t="n">
        <v>59.24</v>
      </c>
      <c r="E15" s="24" t="n">
        <v>67.20999999999999</v>
      </c>
      <c r="F15" s="24" t="n">
        <v>77.2</v>
      </c>
      <c r="G15" s="25" t="n"/>
      <c r="H15" s="22">
        <f>(G15-B15)/ABS(B15)</f>
        <v/>
      </c>
    </row>
    <row r="16" ht="18" customHeight="1">
      <c r="A16" s="19" t="inlineStr">
        <is>
          <t>Délai Clients (j)</t>
        </is>
      </c>
      <c r="B16" s="27" t="n">
        <v>100</v>
      </c>
      <c r="C16" s="27" t="n">
        <v>104.6</v>
      </c>
      <c r="D16" s="27" t="n">
        <v>101.9</v>
      </c>
      <c r="E16" s="27" t="n">
        <v>110.5</v>
      </c>
      <c r="F16" s="27" t="n">
        <v>113.3</v>
      </c>
      <c r="G16" s="21" t="n"/>
      <c r="H16" s="22">
        <f>(G16-B16)/ABS(B16)</f>
        <v/>
      </c>
    </row>
    <row r="17" ht="18" customHeight="1">
      <c r="A17" s="23" t="inlineStr">
        <is>
          <t>Délai Fournisseurs (j)</t>
        </is>
      </c>
      <c r="B17" s="28" t="n">
        <v>132</v>
      </c>
      <c r="C17" s="28" t="n">
        <v>130.8</v>
      </c>
      <c r="D17" s="28" t="n">
        <v>138.2</v>
      </c>
      <c r="E17" s="28" t="n">
        <v>135.5</v>
      </c>
      <c r="F17" s="28" t="n">
        <v>132.7</v>
      </c>
      <c r="G17" s="25" t="n"/>
      <c r="H17" s="22">
        <f>(G17-B17)/ABS(B17)</f>
        <v/>
      </c>
    </row>
    <row r="18" ht="18" customHeight="1">
      <c r="A18" s="19" t="inlineStr">
        <is>
          <t>Marge Nette (%)</t>
        </is>
      </c>
      <c r="B18" s="29" t="n">
        <v>1.68</v>
      </c>
      <c r="C18" s="29" t="n">
        <v>1.98</v>
      </c>
      <c r="D18" s="29" t="n">
        <v>2</v>
      </c>
      <c r="E18" s="29" t="n">
        <v>1.61</v>
      </c>
      <c r="F18" s="29" t="n">
        <v>1.54</v>
      </c>
      <c r="G18" s="21" t="n"/>
      <c r="H18" s="22">
        <f>(G18-B18)/ABS(B18)</f>
        <v/>
      </c>
    </row>
    <row r="19" ht="18" customHeight="1">
      <c r="A19" s="23" t="inlineStr">
        <is>
          <t>Ratio Dette/CP</t>
        </is>
      </c>
      <c r="B19" s="30" t="n">
        <v>0.082</v>
      </c>
      <c r="C19" s="30" t="n">
        <v>0.07199999999999999</v>
      </c>
      <c r="D19" s="30" t="n">
        <v>0.065</v>
      </c>
      <c r="E19" s="30" t="n">
        <v>0.08</v>
      </c>
      <c r="F19" s="30" t="n">
        <v>0.09</v>
      </c>
      <c r="G19" s="25" t="n"/>
      <c r="H19" s="22">
        <f>(G19-B19)/ABS(B19)</f>
        <v/>
      </c>
    </row>
    <row r="20" ht="18" customHeight="1">
      <c r="A20" s="19" t="inlineStr">
        <is>
          <t>Taux de Défaut (%)</t>
        </is>
      </c>
      <c r="B20" s="29" t="n">
        <v>4.78</v>
      </c>
      <c r="C20" s="29" t="n">
        <v>1.08</v>
      </c>
      <c r="D20" s="29" t="n">
        <v>1.79</v>
      </c>
      <c r="E20" s="29" t="n">
        <v>4.33</v>
      </c>
      <c r="F20" s="29" t="n">
        <v>7.35</v>
      </c>
      <c r="G20" s="21" t="n"/>
      <c r="H20" s="22">
        <f>(G20-B20)/ABS(B20)</f>
        <v/>
      </c>
    </row>
    <row r="21" ht="18" customHeight="1">
      <c r="A21" s="23" t="inlineStr">
        <is>
          <t>Nb Observations</t>
        </is>
      </c>
      <c r="B21" s="28" t="n">
        <v>356</v>
      </c>
      <c r="C21" s="28" t="n">
        <v>371</v>
      </c>
      <c r="D21" s="28" t="n">
        <v>336</v>
      </c>
      <c r="E21" s="28" t="n">
        <v>254</v>
      </c>
      <c r="F21" s="28" t="n">
        <v>204</v>
      </c>
      <c r="G21" s="25" t="n"/>
      <c r="H21" s="22">
        <f>(G21-B21)/ABS(B21)</f>
        <v/>
      </c>
    </row>
  </sheetData>
  <mergeCells count="1">
    <mergeCell ref="A1:H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 ht="24" customHeight="1">
      <c r="A1" s="17" t="inlineStr">
        <is>
          <t>ANALYSE SECTORIELLE — Top 10 secteurs (médiane 2015-2019)</t>
        </is>
      </c>
    </row>
    <row r="2"/>
    <row r="3" ht="30" customHeight="1">
      <c r="A3" s="18" t="inlineStr">
        <is>
          <t>Secteur</t>
        </is>
      </c>
      <c r="B3" s="18" t="inlineStr">
        <is>
          <t>Nb Entrep.</t>
        </is>
      </c>
      <c r="C3" s="18" t="inlineStr">
        <is>
          <t>Nb Obs.</t>
        </is>
      </c>
      <c r="D3" s="18" t="inlineStr">
        <is>
          <t>CA méd.(M)</t>
        </is>
      </c>
      <c r="E3" s="18" t="inlineStr">
        <is>
          <t>RN méd.(M)</t>
        </is>
      </c>
      <c r="F3" s="18" t="inlineStr">
        <is>
          <t>EBE méd.(M)</t>
        </is>
      </c>
      <c r="G3" s="18" t="inlineStr">
        <is>
          <t>CP méd.(M)</t>
        </is>
      </c>
      <c r="H3" s="18" t="inlineStr">
        <is>
          <t>Délai Cli.(j)</t>
        </is>
      </c>
      <c r="I3" s="18" t="inlineStr">
        <is>
          <t>Délai Fou.(j)</t>
        </is>
      </c>
      <c r="J3" s="18" t="inlineStr">
        <is>
          <t>Taux Défaut(%)</t>
        </is>
      </c>
    </row>
    <row r="4" ht="18" customHeight="1">
      <c r="A4" s="19" t="inlineStr">
        <is>
          <t>Commerce &amp; Auto</t>
        </is>
      </c>
      <c r="B4" s="31" t="n">
        <v>149</v>
      </c>
      <c r="C4" s="31" t="n">
        <v>497</v>
      </c>
      <c r="D4" s="20" t="n">
        <v>390.7</v>
      </c>
      <c r="E4" s="20" t="n">
        <v>6.7</v>
      </c>
      <c r="F4" s="20" t="n">
        <v>16.3</v>
      </c>
      <c r="G4" s="20" t="n">
        <v>69.5</v>
      </c>
      <c r="H4" s="20" t="n">
        <v>90</v>
      </c>
      <c r="I4" s="20" t="n">
        <v>93</v>
      </c>
      <c r="J4" s="32" t="n">
        <v>1.6</v>
      </c>
    </row>
    <row r="5" ht="18" customHeight="1">
      <c r="A5" s="33" t="inlineStr">
        <is>
          <t>Agro-alimentaire</t>
        </is>
      </c>
      <c r="B5" s="34" t="n">
        <v>58</v>
      </c>
      <c r="C5" s="34" t="n">
        <v>190</v>
      </c>
      <c r="D5" s="24" t="n">
        <v>417.3</v>
      </c>
      <c r="E5" s="24" t="n">
        <v>5.2</v>
      </c>
      <c r="F5" s="24" t="n">
        <v>25.4</v>
      </c>
      <c r="G5" s="24" t="n">
        <v>109.3</v>
      </c>
      <c r="H5" s="24" t="n">
        <v>76</v>
      </c>
      <c r="I5" s="24" t="n">
        <v>112</v>
      </c>
      <c r="J5" s="35" t="n">
        <v>1.6</v>
      </c>
    </row>
    <row r="6" ht="18" customHeight="1">
      <c r="A6" s="19" t="inlineStr">
        <is>
          <t>BTP</t>
        </is>
      </c>
      <c r="B6" s="31" t="n">
        <v>50</v>
      </c>
      <c r="C6" s="31" t="n">
        <v>172</v>
      </c>
      <c r="D6" s="20" t="n">
        <v>306.9</v>
      </c>
      <c r="E6" s="20" t="n">
        <v>4.1</v>
      </c>
      <c r="F6" s="20" t="n">
        <v>14.8</v>
      </c>
      <c r="G6" s="20" t="n">
        <v>64.3</v>
      </c>
      <c r="H6" s="20" t="n">
        <v>251</v>
      </c>
      <c r="I6" s="20" t="n">
        <v>187</v>
      </c>
      <c r="J6" s="36" t="n">
        <v>5.8</v>
      </c>
    </row>
    <row r="7" ht="18" customHeight="1">
      <c r="A7" s="33" t="inlineStr">
        <is>
          <t>Autres sections</t>
        </is>
      </c>
      <c r="B7" s="34" t="n">
        <v>43</v>
      </c>
      <c r="C7" s="34" t="n">
        <v>130</v>
      </c>
      <c r="D7" s="24" t="n">
        <v>219.4</v>
      </c>
      <c r="E7" s="24" t="n">
        <v>4.7</v>
      </c>
      <c r="F7" s="24" t="n">
        <v>12.3</v>
      </c>
      <c r="G7" s="24" t="n">
        <v>37.9</v>
      </c>
      <c r="H7" s="24" t="n">
        <v>85</v>
      </c>
      <c r="I7" s="24" t="n">
        <v>131</v>
      </c>
      <c r="J7" s="36" t="n">
        <v>6.9</v>
      </c>
    </row>
    <row r="8" ht="18" customHeight="1">
      <c r="A8" s="19" t="inlineStr">
        <is>
          <t>Métallurgie/IMEE</t>
        </is>
      </c>
      <c r="B8" s="31" t="n">
        <v>37</v>
      </c>
      <c r="C8" s="31" t="n">
        <v>118</v>
      </c>
      <c r="D8" s="20" t="n">
        <v>573.7</v>
      </c>
      <c r="E8" s="20" t="n">
        <v>10.9</v>
      </c>
      <c r="F8" s="20" t="n">
        <v>39.3</v>
      </c>
      <c r="G8" s="20" t="n">
        <v>143.5</v>
      </c>
      <c r="H8" s="20" t="n">
        <v>149</v>
      </c>
      <c r="I8" s="20" t="n">
        <v>150</v>
      </c>
      <c r="J8" s="36" t="n">
        <v>6.8</v>
      </c>
    </row>
    <row r="9" ht="18" customHeight="1">
      <c r="A9" s="33" t="inlineStr">
        <is>
          <t>Chimie/Parachimie</t>
        </is>
      </c>
      <c r="B9" s="34" t="n">
        <v>26</v>
      </c>
      <c r="C9" s="34" t="n">
        <v>78</v>
      </c>
      <c r="D9" s="24" t="n">
        <v>352.1</v>
      </c>
      <c r="E9" s="24" t="n">
        <v>22.5</v>
      </c>
      <c r="F9" s="24" t="n">
        <v>40.9</v>
      </c>
      <c r="G9" s="24" t="n">
        <v>164.3</v>
      </c>
      <c r="H9" s="24" t="n">
        <v>120</v>
      </c>
      <c r="I9" s="24" t="n">
        <v>143</v>
      </c>
      <c r="J9" s="35" t="n">
        <v>2.6</v>
      </c>
    </row>
    <row r="10" ht="18" customHeight="1">
      <c r="A10" s="19" t="inlineStr">
        <is>
          <t>Transport/Com.</t>
        </is>
      </c>
      <c r="B10" s="31" t="n">
        <v>21</v>
      </c>
      <c r="C10" s="31" t="n">
        <v>60</v>
      </c>
      <c r="D10" s="20" t="n">
        <v>319.1</v>
      </c>
      <c r="E10" s="20" t="n">
        <v>16</v>
      </c>
      <c r="F10" s="20" t="n">
        <v>40.3</v>
      </c>
      <c r="G10" s="20" t="n">
        <v>104.3</v>
      </c>
      <c r="H10" s="20" t="n">
        <v>93</v>
      </c>
      <c r="I10" s="20" t="n">
        <v>254</v>
      </c>
      <c r="J10" s="37" t="n">
        <v>0</v>
      </c>
    </row>
    <row r="11" ht="18" customHeight="1">
      <c r="A11" s="33" t="inlineStr">
        <is>
          <t>Prom. Immobilière</t>
        </is>
      </c>
      <c r="B11" s="34" t="n">
        <v>21</v>
      </c>
      <c r="C11" s="34" t="n">
        <v>56</v>
      </c>
      <c r="D11" s="24" t="n">
        <v>385</v>
      </c>
      <c r="E11" s="24" t="n">
        <v>9</v>
      </c>
      <c r="F11" s="24" t="n">
        <v>35.5</v>
      </c>
      <c r="G11" s="24" t="n">
        <v>541.8</v>
      </c>
      <c r="H11" s="24" t="n">
        <v>234</v>
      </c>
      <c r="I11" s="24" t="n">
        <v>605</v>
      </c>
      <c r="J11" s="38" t="n">
        <v>12.5</v>
      </c>
    </row>
    <row r="12" ht="18" customHeight="1">
      <c r="A12" s="19" t="inlineStr">
        <is>
          <t>Ind. Manufacturières</t>
        </is>
      </c>
      <c r="B12" s="31" t="n">
        <v>17</v>
      </c>
      <c r="C12" s="31" t="n">
        <v>48</v>
      </c>
      <c r="D12" s="20" t="n">
        <v>413.6</v>
      </c>
      <c r="E12" s="20" t="n">
        <v>4.3</v>
      </c>
      <c r="F12" s="20" t="n">
        <v>26.1</v>
      </c>
      <c r="G12" s="20" t="n">
        <v>162.2</v>
      </c>
      <c r="H12" s="20" t="n">
        <v>94</v>
      </c>
      <c r="I12" s="20" t="n">
        <v>117</v>
      </c>
      <c r="J12" s="32" t="n">
        <v>2.1</v>
      </c>
    </row>
    <row r="13" ht="18" customHeight="1">
      <c r="A13" s="33" t="inlineStr">
        <is>
          <t>Élec./Gaz/Eau</t>
        </is>
      </c>
      <c r="B13" s="34" t="n">
        <v>16</v>
      </c>
      <c r="C13" s="34" t="n">
        <v>46</v>
      </c>
      <c r="D13" s="24" t="n">
        <v>688.3</v>
      </c>
      <c r="E13" s="24" t="n">
        <v>25.1</v>
      </c>
      <c r="F13" s="24" t="n">
        <v>73.09999999999999</v>
      </c>
      <c r="G13" s="24" t="n">
        <v>94.90000000000001</v>
      </c>
      <c r="H13" s="24" t="n">
        <v>81</v>
      </c>
      <c r="I13" s="24" t="n">
        <v>108</v>
      </c>
      <c r="J13" s="35" t="n">
        <v>4.3</v>
      </c>
    </row>
  </sheetData>
  <autoFilter ref="A3:J13"/>
  <mergeCells count="1">
    <mergeCell ref="A1:J2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0" customWidth="1" min="10" max="10"/>
    <col width="10" customWidth="1" min="11" max="11"/>
  </cols>
  <sheetData>
    <row r="1" ht="24" customHeight="1">
      <c r="A1" s="39" t="inlineStr">
        <is>
          <t>RISQUE DE CRÉDIT — Analyse du défaut et indicateurs de solvabilité</t>
        </is>
      </c>
      <c r="J1" t="inlineStr">
        <is>
          <t>Statut</t>
        </is>
      </c>
      <c r="K1" t="inlineStr">
        <is>
          <t>Nb</t>
        </is>
      </c>
    </row>
    <row r="2">
      <c r="J2" t="inlineStr">
        <is>
          <t>Sains (96,5%)</t>
        </is>
      </c>
      <c r="K2" t="n">
        <v>1468</v>
      </c>
    </row>
    <row r="3">
      <c r="J3" t="inlineStr">
        <is>
          <t>Défaillants (3,5%)</t>
        </is>
      </c>
      <c r="K3" t="n">
        <v>53</v>
      </c>
    </row>
    <row r="4">
      <c r="A4" s="40" t="inlineStr">
        <is>
          <t>SYNTHÈSE RISQUE PAR ANNÉE</t>
        </is>
      </c>
    </row>
    <row r="5" ht="26" customHeight="1">
      <c r="A5" s="41" t="inlineStr">
        <is>
          <t>Année</t>
        </is>
      </c>
      <c r="B5" s="41" t="inlineStr">
        <is>
          <t>Nb Obs.</t>
        </is>
      </c>
      <c r="C5" s="41" t="inlineStr">
        <is>
          <t>Nb Défauts</t>
        </is>
      </c>
      <c r="D5" s="41" t="inlineStr">
        <is>
          <t>Taux Défaut (%)</t>
        </is>
      </c>
      <c r="E5" s="41" t="inlineStr">
        <is>
          <t>CA méd.(M)</t>
        </is>
      </c>
      <c r="F5" s="41" t="inlineStr">
        <is>
          <t>Dette/CP</t>
        </is>
      </c>
      <c r="G5" s="41" t="inlineStr">
        <is>
          <t>BFR méd.(M)</t>
        </is>
      </c>
      <c r="H5" s="41" t="inlineStr">
        <is>
          <t>Marge Nette (%)</t>
        </is>
      </c>
    </row>
    <row r="6" ht="18" customHeight="1">
      <c r="A6" s="42" t="n">
        <v>2015</v>
      </c>
      <c r="B6" s="27" t="n">
        <v>356</v>
      </c>
      <c r="C6" s="27" t="n">
        <v>17</v>
      </c>
      <c r="D6" s="43" t="n">
        <v>4.78</v>
      </c>
      <c r="E6" s="20" t="n">
        <v>357.83</v>
      </c>
      <c r="F6" s="44" t="n">
        <v>0.082</v>
      </c>
      <c r="G6" s="20" t="n">
        <v>156.88</v>
      </c>
      <c r="H6" s="29" t="n">
        <v>1.68</v>
      </c>
    </row>
    <row r="7" ht="18" customHeight="1">
      <c r="A7" s="45" t="n">
        <v>2016</v>
      </c>
      <c r="B7" s="28" t="n">
        <v>371</v>
      </c>
      <c r="C7" s="28" t="n">
        <v>4</v>
      </c>
      <c r="D7" s="46" t="n">
        <v>1.08</v>
      </c>
      <c r="E7" s="24" t="n">
        <v>382.32</v>
      </c>
      <c r="F7" s="47" t="n">
        <v>0.07199999999999999</v>
      </c>
      <c r="G7" s="24" t="n">
        <v>167.67</v>
      </c>
      <c r="H7" s="30" t="n">
        <v>1.98</v>
      </c>
    </row>
    <row r="8" ht="18" customHeight="1">
      <c r="A8" s="42" t="n">
        <v>2017</v>
      </c>
      <c r="B8" s="27" t="n">
        <v>336</v>
      </c>
      <c r="C8" s="27" t="n">
        <v>6</v>
      </c>
      <c r="D8" s="43" t="n">
        <v>1.79</v>
      </c>
      <c r="E8" s="20" t="n">
        <v>341.08</v>
      </c>
      <c r="F8" s="44" t="n">
        <v>0.065</v>
      </c>
      <c r="G8" s="20" t="n">
        <v>177.19</v>
      </c>
      <c r="H8" s="29" t="n">
        <v>2</v>
      </c>
    </row>
    <row r="9" ht="18" customHeight="1">
      <c r="A9" s="45" t="n">
        <v>2018</v>
      </c>
      <c r="B9" s="28" t="n">
        <v>254</v>
      </c>
      <c r="C9" s="28" t="n">
        <v>11</v>
      </c>
      <c r="D9" s="46" t="n">
        <v>4.33</v>
      </c>
      <c r="E9" s="24" t="n">
        <v>369</v>
      </c>
      <c r="F9" s="47" t="n">
        <v>0.08</v>
      </c>
      <c r="G9" s="24" t="n">
        <v>179.61</v>
      </c>
      <c r="H9" s="30" t="n">
        <v>1.61</v>
      </c>
    </row>
    <row r="10" ht="18" customHeight="1">
      <c r="A10" s="42" t="n">
        <v>2019</v>
      </c>
      <c r="B10" s="27" t="n">
        <v>204</v>
      </c>
      <c r="C10" s="27" t="n">
        <v>15</v>
      </c>
      <c r="D10" s="43" t="n">
        <v>7.35</v>
      </c>
      <c r="E10" s="20" t="n">
        <v>384.72</v>
      </c>
      <c r="F10" s="44" t="n">
        <v>0.09</v>
      </c>
      <c r="G10" s="20" t="n">
        <v>164.19</v>
      </c>
      <c r="H10" s="29" t="n">
        <v>1.54</v>
      </c>
    </row>
    <row r="12" ht="10" customHeight="1"/>
    <row r="13">
      <c r="A13" s="40" t="inlineStr">
        <is>
          <t>TAUX DE DÉFAUT PAR SECTEUR (Top 10)</t>
        </is>
      </c>
    </row>
    <row r="14" ht="26" customHeight="1">
      <c r="A14" s="41" t="inlineStr">
        <is>
          <t>Secteur</t>
        </is>
      </c>
      <c r="B14" s="41" t="inlineStr">
        <is>
          <t>Nb Entrep.</t>
        </is>
      </c>
      <c r="C14" s="41" t="inlineStr">
        <is>
          <t>Nb Obs.</t>
        </is>
      </c>
      <c r="D14" s="41" t="inlineStr">
        <is>
          <t>Nb Défauts (est.)</t>
        </is>
      </c>
      <c r="E14" s="41" t="inlineStr">
        <is>
          <t>Taux Défaut (%)</t>
        </is>
      </c>
      <c r="F14" s="41" t="inlineStr">
        <is>
          <t>Niveau de Risque</t>
        </is>
      </c>
    </row>
    <row r="15" ht="18" customHeight="1">
      <c r="A15" s="19" t="inlineStr">
        <is>
          <t>Commerce &amp; Auto</t>
        </is>
      </c>
      <c r="B15" s="48" t="n">
        <v>149</v>
      </c>
      <c r="C15" s="48" t="n">
        <v>497</v>
      </c>
      <c r="D15" s="48" t="n">
        <v>8</v>
      </c>
      <c r="E15" s="49" t="n">
        <v>1.6</v>
      </c>
      <c r="F15" s="50" t="inlineStr">
        <is>
          <t>FAIBLE</t>
        </is>
      </c>
    </row>
    <row r="16" ht="18" customHeight="1">
      <c r="A16" s="33" t="inlineStr">
        <is>
          <t>Agro-alimentaire</t>
        </is>
      </c>
      <c r="B16" s="51" t="n">
        <v>58</v>
      </c>
      <c r="C16" s="51" t="n">
        <v>190</v>
      </c>
      <c r="D16" s="51" t="n">
        <v>3</v>
      </c>
      <c r="E16" s="52" t="n">
        <v>1.6</v>
      </c>
      <c r="F16" s="50" t="inlineStr">
        <is>
          <t>FAIBLE</t>
        </is>
      </c>
    </row>
    <row r="17" ht="18" customHeight="1">
      <c r="A17" s="19" t="inlineStr">
        <is>
          <t>BTP</t>
        </is>
      </c>
      <c r="B17" s="48" t="n">
        <v>50</v>
      </c>
      <c r="C17" s="48" t="n">
        <v>172</v>
      </c>
      <c r="D17" s="48" t="n">
        <v>10</v>
      </c>
      <c r="E17" s="53" t="n">
        <v>5.8</v>
      </c>
      <c r="F17" s="54" t="inlineStr">
        <is>
          <t>MODÉRÉ</t>
        </is>
      </c>
    </row>
    <row r="18" ht="18" customHeight="1">
      <c r="A18" s="33" t="inlineStr">
        <is>
          <t>Autres sections</t>
        </is>
      </c>
      <c r="B18" s="51" t="n">
        <v>43</v>
      </c>
      <c r="C18" s="51" t="n">
        <v>130</v>
      </c>
      <c r="D18" s="51" t="n">
        <v>9</v>
      </c>
      <c r="E18" s="55" t="n">
        <v>6.9</v>
      </c>
      <c r="F18" s="54" t="inlineStr">
        <is>
          <t>MODÉRÉ</t>
        </is>
      </c>
    </row>
    <row r="19" ht="18" customHeight="1">
      <c r="A19" s="19" t="inlineStr">
        <is>
          <t>Métallurgie/IMEE</t>
        </is>
      </c>
      <c r="B19" s="48" t="n">
        <v>37</v>
      </c>
      <c r="C19" s="48" t="n">
        <v>118</v>
      </c>
      <c r="D19" s="48" t="n">
        <v>8</v>
      </c>
      <c r="E19" s="53" t="n">
        <v>6.8</v>
      </c>
      <c r="F19" s="54" t="inlineStr">
        <is>
          <t>MODÉRÉ</t>
        </is>
      </c>
    </row>
    <row r="20" ht="18" customHeight="1">
      <c r="A20" s="33" t="inlineStr">
        <is>
          <t>Chimie/Parachimie</t>
        </is>
      </c>
      <c r="B20" s="51" t="n">
        <v>26</v>
      </c>
      <c r="C20" s="51" t="n">
        <v>78</v>
      </c>
      <c r="D20" s="51" t="n">
        <v>2</v>
      </c>
      <c r="E20" s="52" t="n">
        <v>2.6</v>
      </c>
      <c r="F20" s="50" t="inlineStr">
        <is>
          <t>FAIBLE</t>
        </is>
      </c>
    </row>
    <row r="21" ht="18" customHeight="1">
      <c r="A21" s="19" t="inlineStr">
        <is>
          <t>Transport/Com.</t>
        </is>
      </c>
      <c r="B21" s="48" t="n">
        <v>21</v>
      </c>
      <c r="C21" s="48" t="n">
        <v>60</v>
      </c>
      <c r="D21" s="48" t="n">
        <v>0</v>
      </c>
      <c r="E21" s="56" t="n">
        <v>0</v>
      </c>
      <c r="F21" s="18" t="inlineStr">
        <is>
          <t>NUL</t>
        </is>
      </c>
    </row>
    <row r="22" ht="18" customHeight="1">
      <c r="A22" s="33" t="inlineStr">
        <is>
          <t>Prom. Immobilière</t>
        </is>
      </c>
      <c r="B22" s="51" t="n">
        <v>21</v>
      </c>
      <c r="C22" s="51" t="n">
        <v>56</v>
      </c>
      <c r="D22" s="51" t="n">
        <v>7</v>
      </c>
      <c r="E22" s="57" t="n">
        <v>12.5</v>
      </c>
      <c r="F22" s="41" t="inlineStr">
        <is>
          <t>ÉLEVÉ</t>
        </is>
      </c>
    </row>
    <row r="23" ht="18" customHeight="1">
      <c r="A23" s="19" t="inlineStr">
        <is>
          <t>Ind. Manufacturières</t>
        </is>
      </c>
      <c r="B23" s="48" t="n">
        <v>17</v>
      </c>
      <c r="C23" s="48" t="n">
        <v>48</v>
      </c>
      <c r="D23" s="48" t="n">
        <v>1</v>
      </c>
      <c r="E23" s="49" t="n">
        <v>2.1</v>
      </c>
      <c r="F23" s="50" t="inlineStr">
        <is>
          <t>FAIBLE</t>
        </is>
      </c>
    </row>
    <row r="24" ht="18" customHeight="1">
      <c r="A24" s="33" t="inlineStr">
        <is>
          <t>Élec./Gaz/Eau</t>
        </is>
      </c>
      <c r="B24" s="51" t="n">
        <v>16</v>
      </c>
      <c r="C24" s="51" t="n">
        <v>46</v>
      </c>
      <c r="D24" s="51" t="n">
        <v>2</v>
      </c>
      <c r="E24" s="52" t="n">
        <v>4.3</v>
      </c>
      <c r="F24" s="50" t="inlineStr">
        <is>
          <t>FAIBLE</t>
        </is>
      </c>
    </row>
  </sheetData>
  <mergeCells count="3">
    <mergeCell ref="A1:H2"/>
    <mergeCell ref="A13:H13"/>
    <mergeCell ref="A4:H4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22" customHeight="1">
      <c r="A1" s="58" t="inlineStr">
        <is>
          <t>DONNÉES BRUTES AGRÉGÉES — Médiane par secteur × année</t>
        </is>
      </c>
    </row>
    <row r="2"/>
    <row r="3" ht="28" customHeight="1">
      <c r="A3" s="18" t="inlineStr">
        <is>
          <t>Secteur</t>
        </is>
      </c>
      <c r="B3" s="18" t="inlineStr">
        <is>
          <t>Année</t>
        </is>
      </c>
      <c r="C3" s="18" t="inlineStr">
        <is>
          <t>CA méd.(M)</t>
        </is>
      </c>
      <c r="D3" s="18" t="inlineStr">
        <is>
          <t>RN méd.(M)</t>
        </is>
      </c>
      <c r="E3" s="18" t="inlineStr">
        <is>
          <t>EBE méd.(M)</t>
        </is>
      </c>
      <c r="F3" s="18" t="inlineStr">
        <is>
          <t>CP méd.(M)</t>
        </is>
      </c>
      <c r="G3" s="18" t="inlineStr">
        <is>
          <t>Bilan méd.(M)</t>
        </is>
      </c>
      <c r="H3" s="18" t="inlineStr">
        <is>
          <t>Dette méd.(M)</t>
        </is>
      </c>
      <c r="I3" s="18" t="inlineStr">
        <is>
          <t>BFR méd.(M)</t>
        </is>
      </c>
      <c r="J3" s="18" t="inlineStr">
        <is>
          <t>Délai Cli.(j)</t>
        </is>
      </c>
      <c r="K3" s="18" t="inlineStr">
        <is>
          <t>Délai Fou.(j)</t>
        </is>
      </c>
      <c r="L3" s="18" t="inlineStr">
        <is>
          <t>Taux Défaut(%)</t>
        </is>
      </c>
    </row>
    <row r="4" ht="15" customHeight="1">
      <c r="A4" s="59" t="inlineStr">
        <is>
          <t>Commerce &amp; Auto</t>
        </is>
      </c>
      <c r="B4" s="60" t="inlineStr">
        <is>
          <t>2015</t>
        </is>
      </c>
      <c r="C4" s="61" t="n">
        <v>366.9</v>
      </c>
      <c r="D4" s="61" t="n">
        <v>5</v>
      </c>
      <c r="E4" s="61" t="n">
        <v>12.9</v>
      </c>
      <c r="F4" s="61" t="n">
        <v>62.2</v>
      </c>
      <c r="G4" s="61" t="n">
        <v>255.1</v>
      </c>
      <c r="H4" s="61" t="n">
        <v>0.2</v>
      </c>
      <c r="I4" s="61" t="n">
        <v>115</v>
      </c>
      <c r="J4" s="61" t="n">
        <v>88</v>
      </c>
      <c r="K4" s="61" t="n">
        <v>90</v>
      </c>
      <c r="L4" s="61" t="n">
        <v>0.9</v>
      </c>
    </row>
    <row r="5" ht="15" customHeight="1">
      <c r="A5" s="62" t="inlineStr">
        <is>
          <t>Commerce &amp; Auto</t>
        </is>
      </c>
      <c r="B5" s="63" t="inlineStr">
        <is>
          <t>2016</t>
        </is>
      </c>
      <c r="C5" s="64" t="n">
        <v>392.9</v>
      </c>
      <c r="D5" s="64" t="n">
        <v>7.1</v>
      </c>
      <c r="E5" s="64" t="n">
        <v>16.7</v>
      </c>
      <c r="F5" s="64" t="n">
        <v>68.40000000000001</v>
      </c>
      <c r="G5" s="64" t="n">
        <v>286.6</v>
      </c>
      <c r="H5" s="64" t="n">
        <v>0</v>
      </c>
      <c r="I5" s="64" t="n">
        <v>122.1</v>
      </c>
      <c r="J5" s="64" t="n">
        <v>86</v>
      </c>
      <c r="K5" s="64" t="n">
        <v>95</v>
      </c>
      <c r="L5" s="64" t="n">
        <v>0.8</v>
      </c>
    </row>
    <row r="6" ht="15" customHeight="1">
      <c r="A6" s="59" t="inlineStr">
        <is>
          <t>Commerce &amp; Auto</t>
        </is>
      </c>
      <c r="B6" s="60" t="inlineStr">
        <is>
          <t>2017</t>
        </is>
      </c>
      <c r="C6" s="61" t="n">
        <v>373.9</v>
      </c>
      <c r="D6" s="61" t="n">
        <v>7.4</v>
      </c>
      <c r="E6" s="61" t="n">
        <v>16.7</v>
      </c>
      <c r="F6" s="61" t="n">
        <v>67.7</v>
      </c>
      <c r="G6" s="61" t="n">
        <v>284.2</v>
      </c>
      <c r="H6" s="61" t="n">
        <v>0</v>
      </c>
      <c r="I6" s="61" t="n">
        <v>135.9</v>
      </c>
      <c r="J6" s="61" t="n">
        <v>84</v>
      </c>
      <c r="K6" s="61" t="n">
        <v>91</v>
      </c>
      <c r="L6" s="61" t="n">
        <v>1</v>
      </c>
    </row>
    <row r="7" ht="15" customHeight="1">
      <c r="A7" s="62" t="inlineStr">
        <is>
          <t>Commerce &amp; Auto</t>
        </is>
      </c>
      <c r="B7" s="63" t="inlineStr">
        <is>
          <t>2018</t>
        </is>
      </c>
      <c r="C7" s="64" t="n">
        <v>412.7</v>
      </c>
      <c r="D7" s="64" t="n">
        <v>9.300000000000001</v>
      </c>
      <c r="E7" s="64" t="n">
        <v>22.1</v>
      </c>
      <c r="F7" s="64" t="n">
        <v>78.2</v>
      </c>
      <c r="G7" s="64" t="n">
        <v>326.2</v>
      </c>
      <c r="H7" s="64" t="n">
        <v>0</v>
      </c>
      <c r="I7" s="64" t="n">
        <v>157.8</v>
      </c>
      <c r="J7" s="64" t="n">
        <v>94</v>
      </c>
      <c r="K7" s="64" t="n">
        <v>95</v>
      </c>
      <c r="L7" s="64" t="n">
        <v>2.3</v>
      </c>
    </row>
    <row r="8" ht="15" customHeight="1">
      <c r="A8" s="59" t="inlineStr">
        <is>
          <t>Commerce &amp; Auto</t>
        </is>
      </c>
      <c r="B8" s="60" t="inlineStr">
        <is>
          <t>2019</t>
        </is>
      </c>
      <c r="C8" s="61" t="n">
        <v>427</v>
      </c>
      <c r="D8" s="61" t="n">
        <v>8.5</v>
      </c>
      <c r="E8" s="61" t="n">
        <v>18.5</v>
      </c>
      <c r="F8" s="61" t="n">
        <v>74.5</v>
      </c>
      <c r="G8" s="61" t="n">
        <v>361.8</v>
      </c>
      <c r="H8" s="61" t="n">
        <v>0.3</v>
      </c>
      <c r="I8" s="61" t="n">
        <v>146.4</v>
      </c>
      <c r="J8" s="61" t="n">
        <v>96</v>
      </c>
      <c r="K8" s="61" t="n">
        <v>91</v>
      </c>
      <c r="L8" s="61" t="n">
        <v>4.1</v>
      </c>
    </row>
    <row r="9" ht="15" customHeight="1">
      <c r="A9" s="62" t="inlineStr">
        <is>
          <t>Agro-alimentaire</t>
        </is>
      </c>
      <c r="B9" s="63" t="inlineStr">
        <is>
          <t>2015</t>
        </is>
      </c>
      <c r="C9" s="64" t="n">
        <v>419.8</v>
      </c>
      <c r="D9" s="64" t="n">
        <v>3.8</v>
      </c>
      <c r="E9" s="64" t="n">
        <v>21.4</v>
      </c>
      <c r="F9" s="64" t="n">
        <v>87.3</v>
      </c>
      <c r="G9" s="64" t="n">
        <v>307.8</v>
      </c>
      <c r="H9" s="64" t="n">
        <v>16.9</v>
      </c>
      <c r="I9" s="64" t="n">
        <v>166.9</v>
      </c>
      <c r="J9" s="64" t="n">
        <v>76</v>
      </c>
      <c r="K9" s="64" t="n">
        <v>114</v>
      </c>
      <c r="L9" s="64" t="n">
        <v>2.3</v>
      </c>
    </row>
    <row r="10" ht="15" customHeight="1">
      <c r="A10" s="59" t="inlineStr">
        <is>
          <t>Agro-alimentaire</t>
        </is>
      </c>
      <c r="B10" s="60" t="inlineStr">
        <is>
          <t>2016</t>
        </is>
      </c>
      <c r="C10" s="61" t="n">
        <v>451.9</v>
      </c>
      <c r="D10" s="61" t="n">
        <v>6.4</v>
      </c>
      <c r="E10" s="61" t="n">
        <v>27.7</v>
      </c>
      <c r="F10" s="61" t="n">
        <v>109.1</v>
      </c>
      <c r="G10" s="61" t="n">
        <v>337.6</v>
      </c>
      <c r="H10" s="61" t="n">
        <v>20</v>
      </c>
      <c r="I10" s="61" t="n">
        <v>224.5</v>
      </c>
      <c r="J10" s="61" t="n">
        <v>77</v>
      </c>
      <c r="K10" s="61" t="n">
        <v>116</v>
      </c>
      <c r="L10" s="65" t="n">
        <v>0</v>
      </c>
    </row>
    <row r="11" ht="15" customHeight="1">
      <c r="A11" s="62" t="inlineStr">
        <is>
          <t>Agro-alimentaire</t>
        </is>
      </c>
      <c r="B11" s="63" t="inlineStr">
        <is>
          <t>2017</t>
        </is>
      </c>
      <c r="C11" s="64" t="n">
        <v>396</v>
      </c>
      <c r="D11" s="64" t="n">
        <v>6.1</v>
      </c>
      <c r="E11" s="64" t="n">
        <v>26.2</v>
      </c>
      <c r="F11" s="64" t="n">
        <v>117.7</v>
      </c>
      <c r="G11" s="64" t="n">
        <v>308</v>
      </c>
      <c r="H11" s="64" t="n">
        <v>9.5</v>
      </c>
      <c r="I11" s="64" t="n">
        <v>213.4</v>
      </c>
      <c r="J11" s="64" t="n">
        <v>80</v>
      </c>
      <c r="K11" s="64" t="n">
        <v>101</v>
      </c>
      <c r="L11" s="64" t="n">
        <v>2.4</v>
      </c>
    </row>
    <row r="12" ht="15" customHeight="1">
      <c r="A12" s="59" t="inlineStr">
        <is>
          <t>Agro-alimentaire</t>
        </is>
      </c>
      <c r="B12" s="60" t="inlineStr">
        <is>
          <t>2018</t>
        </is>
      </c>
      <c r="C12" s="61" t="n">
        <v>440.8</v>
      </c>
      <c r="D12" s="61" t="n">
        <v>2.5</v>
      </c>
      <c r="E12" s="61" t="n">
        <v>21.7</v>
      </c>
      <c r="F12" s="61" t="n">
        <v>64.40000000000001</v>
      </c>
      <c r="G12" s="61" t="n">
        <v>346</v>
      </c>
      <c r="H12" s="61" t="n">
        <v>11</v>
      </c>
      <c r="I12" s="61" t="n">
        <v>188.2</v>
      </c>
      <c r="J12" s="61" t="n">
        <v>76</v>
      </c>
      <c r="K12" s="61" t="n">
        <v>114</v>
      </c>
      <c r="L12" s="65" t="n">
        <v>0</v>
      </c>
    </row>
    <row r="13" ht="15" customHeight="1">
      <c r="A13" s="62" t="inlineStr">
        <is>
          <t>Agro-alimentaire</t>
        </is>
      </c>
      <c r="B13" s="63" t="inlineStr">
        <is>
          <t>2019</t>
        </is>
      </c>
      <c r="C13" s="64" t="n">
        <v>440.2</v>
      </c>
      <c r="D13" s="64" t="n">
        <v>12.7</v>
      </c>
      <c r="E13" s="64" t="n">
        <v>31.6</v>
      </c>
      <c r="F13" s="64" t="n">
        <v>145.3</v>
      </c>
      <c r="G13" s="64" t="n">
        <v>387.7</v>
      </c>
      <c r="H13" s="64" t="n">
        <v>14.9</v>
      </c>
      <c r="I13" s="64" t="n">
        <v>207.7</v>
      </c>
      <c r="J13" s="64" t="n">
        <v>72</v>
      </c>
      <c r="K13" s="64" t="n">
        <v>114</v>
      </c>
      <c r="L13" s="64" t="n">
        <v>3.8</v>
      </c>
    </row>
    <row r="14" ht="15" customHeight="1">
      <c r="A14" s="59" t="inlineStr">
        <is>
          <t>BTP</t>
        </is>
      </c>
      <c r="B14" s="60" t="inlineStr">
        <is>
          <t>2015</t>
        </is>
      </c>
      <c r="C14" s="61" t="n">
        <v>303.7</v>
      </c>
      <c r="D14" s="61" t="n">
        <v>4.2</v>
      </c>
      <c r="E14" s="61" t="n">
        <v>16.2</v>
      </c>
      <c r="F14" s="61" t="n">
        <v>55.6</v>
      </c>
      <c r="G14" s="61" t="n">
        <v>412.8</v>
      </c>
      <c r="H14" s="61" t="n">
        <v>10.5</v>
      </c>
      <c r="I14" s="61" t="n">
        <v>184</v>
      </c>
      <c r="J14" s="61" t="n">
        <v>233</v>
      </c>
      <c r="K14" s="61" t="n">
        <v>176</v>
      </c>
      <c r="L14" s="61" t="n">
        <v>5</v>
      </c>
    </row>
    <row r="15" ht="15" customHeight="1">
      <c r="A15" s="62" t="inlineStr">
        <is>
          <t>BTP</t>
        </is>
      </c>
      <c r="B15" s="63" t="inlineStr">
        <is>
          <t>2016</t>
        </is>
      </c>
      <c r="C15" s="64" t="n">
        <v>331.7</v>
      </c>
      <c r="D15" s="64" t="n">
        <v>4.4</v>
      </c>
      <c r="E15" s="64" t="n">
        <v>17.2</v>
      </c>
      <c r="F15" s="64" t="n">
        <v>64.8</v>
      </c>
      <c r="G15" s="64" t="n">
        <v>517.2</v>
      </c>
      <c r="H15" s="64" t="n">
        <v>10.2</v>
      </c>
      <c r="I15" s="64" t="n">
        <v>159.5</v>
      </c>
      <c r="J15" s="64" t="n">
        <v>233</v>
      </c>
      <c r="K15" s="64" t="n">
        <v>177</v>
      </c>
      <c r="L15" s="64" t="n">
        <v>2.4</v>
      </c>
    </row>
    <row r="16" ht="15" customHeight="1">
      <c r="A16" s="59" t="inlineStr">
        <is>
          <t>BTP</t>
        </is>
      </c>
      <c r="B16" s="60" t="inlineStr">
        <is>
          <t>2017</t>
        </is>
      </c>
      <c r="C16" s="61" t="n">
        <v>304.3</v>
      </c>
      <c r="D16" s="61" t="n">
        <v>4.7</v>
      </c>
      <c r="E16" s="61" t="n">
        <v>12.6</v>
      </c>
      <c r="F16" s="61" t="n">
        <v>70.90000000000001</v>
      </c>
      <c r="G16" s="61" t="n">
        <v>569.6</v>
      </c>
      <c r="H16" s="61" t="n">
        <v>16</v>
      </c>
      <c r="I16" s="61" t="n">
        <v>185.6</v>
      </c>
      <c r="J16" s="61" t="n">
        <v>280</v>
      </c>
      <c r="K16" s="61" t="n">
        <v>198</v>
      </c>
      <c r="L16" s="61" t="n">
        <v>2.4</v>
      </c>
    </row>
    <row r="17" ht="15" customHeight="1">
      <c r="A17" s="62" t="inlineStr">
        <is>
          <t>BTP</t>
        </is>
      </c>
      <c r="B17" s="63" t="inlineStr">
        <is>
          <t>2018</t>
        </is>
      </c>
      <c r="C17" s="64" t="n">
        <v>326.7</v>
      </c>
      <c r="D17" s="64" t="n">
        <v>3.5</v>
      </c>
      <c r="E17" s="64" t="n">
        <v>14.8</v>
      </c>
      <c r="F17" s="64" t="n">
        <v>78.5</v>
      </c>
      <c r="G17" s="64" t="n">
        <v>603.4</v>
      </c>
      <c r="H17" s="64" t="n">
        <v>10.7</v>
      </c>
      <c r="I17" s="64" t="n">
        <v>183.4</v>
      </c>
      <c r="J17" s="64" t="n">
        <v>255</v>
      </c>
      <c r="K17" s="64" t="n">
        <v>201</v>
      </c>
      <c r="L17" s="66" t="n">
        <v>13.3</v>
      </c>
    </row>
    <row r="18" ht="15" customHeight="1">
      <c r="A18" s="59" t="inlineStr">
        <is>
          <t>BTP</t>
        </is>
      </c>
      <c r="B18" s="60" t="inlineStr">
        <is>
          <t>2019</t>
        </is>
      </c>
      <c r="C18" s="61" t="n">
        <v>270.7</v>
      </c>
      <c r="D18" s="61" t="n">
        <v>3.7</v>
      </c>
      <c r="E18" s="61" t="n">
        <v>13.3</v>
      </c>
      <c r="F18" s="61" t="n">
        <v>63.3</v>
      </c>
      <c r="G18" s="61" t="n">
        <v>386</v>
      </c>
      <c r="H18" s="61" t="n">
        <v>32.5</v>
      </c>
      <c r="I18" s="61" t="n">
        <v>127.7</v>
      </c>
      <c r="J18" s="61" t="n">
        <v>291</v>
      </c>
      <c r="K18" s="61" t="n">
        <v>193</v>
      </c>
      <c r="L18" s="66" t="n">
        <v>10.5</v>
      </c>
    </row>
    <row r="19" ht="15" customHeight="1">
      <c r="A19" s="62" t="inlineStr">
        <is>
          <t>Autres sections</t>
        </is>
      </c>
      <c r="B19" s="63" t="inlineStr">
        <is>
          <t>2015</t>
        </is>
      </c>
      <c r="C19" s="64" t="n">
        <v>203.2</v>
      </c>
      <c r="D19" s="64" t="n">
        <v>4.1</v>
      </c>
      <c r="E19" s="64" t="n">
        <v>9.5</v>
      </c>
      <c r="F19" s="64" t="n">
        <v>28.2</v>
      </c>
      <c r="G19" s="64" t="n">
        <v>147.4</v>
      </c>
      <c r="H19" s="64" t="n">
        <v>1.2</v>
      </c>
      <c r="I19" s="64" t="n">
        <v>58.8</v>
      </c>
      <c r="J19" s="64" t="n">
        <v>87</v>
      </c>
      <c r="K19" s="64" t="n">
        <v>133</v>
      </c>
      <c r="L19" s="66" t="n">
        <v>13.3</v>
      </c>
    </row>
    <row r="20" ht="15" customHeight="1">
      <c r="A20" s="59" t="inlineStr">
        <is>
          <t>Autres sections</t>
        </is>
      </c>
      <c r="B20" s="60" t="inlineStr">
        <is>
          <t>2016</t>
        </is>
      </c>
      <c r="C20" s="61" t="n">
        <v>211.7</v>
      </c>
      <c r="D20" s="61" t="n">
        <v>3.7</v>
      </c>
      <c r="E20" s="61" t="n">
        <v>8.800000000000001</v>
      </c>
      <c r="F20" s="61" t="n">
        <v>29</v>
      </c>
      <c r="G20" s="61" t="n">
        <v>155.3</v>
      </c>
      <c r="H20" s="61" t="n">
        <v>0.6</v>
      </c>
      <c r="I20" s="61" t="n">
        <v>42.3</v>
      </c>
      <c r="J20" s="61" t="n">
        <v>79</v>
      </c>
      <c r="K20" s="61" t="n">
        <v>121</v>
      </c>
      <c r="L20" s="61" t="n">
        <v>3.6</v>
      </c>
    </row>
    <row r="21" ht="15" customHeight="1">
      <c r="A21" s="62" t="inlineStr">
        <is>
          <t>Autres sections</t>
        </is>
      </c>
      <c r="B21" s="63" t="inlineStr">
        <is>
          <t>2017</t>
        </is>
      </c>
      <c r="C21" s="64" t="n">
        <v>215.1</v>
      </c>
      <c r="D21" s="64" t="n">
        <v>5.9</v>
      </c>
      <c r="E21" s="64" t="n">
        <v>11.1</v>
      </c>
      <c r="F21" s="64" t="n">
        <v>34.7</v>
      </c>
      <c r="G21" s="64" t="n">
        <v>157.7</v>
      </c>
      <c r="H21" s="64" t="n">
        <v>0</v>
      </c>
      <c r="I21" s="64" t="n">
        <v>55.6</v>
      </c>
      <c r="J21" s="64" t="n">
        <v>86</v>
      </c>
      <c r="K21" s="64" t="n">
        <v>126</v>
      </c>
      <c r="L21" s="64" t="n">
        <v>3.2</v>
      </c>
    </row>
    <row r="22" ht="15" customHeight="1">
      <c r="A22" s="59" t="inlineStr">
        <is>
          <t>Autres sections</t>
        </is>
      </c>
      <c r="B22" s="60" t="inlineStr">
        <is>
          <t>2018</t>
        </is>
      </c>
      <c r="C22" s="61" t="n">
        <v>281</v>
      </c>
      <c r="D22" s="61" t="n">
        <v>6.4</v>
      </c>
      <c r="E22" s="61" t="n">
        <v>16.4</v>
      </c>
      <c r="F22" s="61" t="n">
        <v>54.3</v>
      </c>
      <c r="G22" s="61" t="n">
        <v>207.4</v>
      </c>
      <c r="H22" s="61" t="n">
        <v>1.2</v>
      </c>
      <c r="I22" s="61" t="n">
        <v>71.5</v>
      </c>
      <c r="J22" s="61" t="n">
        <v>103</v>
      </c>
      <c r="K22" s="61" t="n">
        <v>145</v>
      </c>
      <c r="L22" s="61" t="n">
        <v>4.8</v>
      </c>
    </row>
    <row r="23" ht="15" customHeight="1">
      <c r="A23" s="62" t="inlineStr">
        <is>
          <t>Autres sections</t>
        </is>
      </c>
      <c r="B23" s="63" t="inlineStr">
        <is>
          <t>2019</t>
        </is>
      </c>
      <c r="C23" s="64" t="n">
        <v>258.7</v>
      </c>
      <c r="D23" s="64" t="n">
        <v>6.1</v>
      </c>
      <c r="E23" s="64" t="n">
        <v>14.1</v>
      </c>
      <c r="F23" s="64" t="n">
        <v>36.6</v>
      </c>
      <c r="G23" s="64" t="n">
        <v>193.1</v>
      </c>
      <c r="H23" s="64" t="n">
        <v>0</v>
      </c>
      <c r="I23" s="64" t="n">
        <v>58.8</v>
      </c>
      <c r="J23" s="64" t="n">
        <v>75</v>
      </c>
      <c r="K23" s="64" t="n">
        <v>136</v>
      </c>
      <c r="L23" s="67" t="n">
        <v>10</v>
      </c>
    </row>
    <row r="24" ht="15" customHeight="1">
      <c r="A24" s="59" t="inlineStr">
        <is>
          <t>Métallurgie/IMEE</t>
        </is>
      </c>
      <c r="B24" s="60" t="inlineStr">
        <is>
          <t>2015</t>
        </is>
      </c>
      <c r="C24" s="61" t="n">
        <v>500.6</v>
      </c>
      <c r="D24" s="61" t="n">
        <v>8.199999999999999</v>
      </c>
      <c r="E24" s="61" t="n">
        <v>37.6</v>
      </c>
      <c r="F24" s="61" t="n">
        <v>148.1</v>
      </c>
      <c r="G24" s="61" t="n">
        <v>569</v>
      </c>
      <c r="H24" s="61" t="n">
        <v>4.1</v>
      </c>
      <c r="I24" s="61" t="n">
        <v>236</v>
      </c>
      <c r="J24" s="61" t="n">
        <v>146</v>
      </c>
      <c r="K24" s="61" t="n">
        <v>134</v>
      </c>
      <c r="L24" s="67" t="n">
        <v>7.1</v>
      </c>
    </row>
    <row r="25" ht="15" customHeight="1">
      <c r="A25" s="62" t="inlineStr">
        <is>
          <t>Métallurgie/IMEE</t>
        </is>
      </c>
      <c r="B25" s="63" t="inlineStr">
        <is>
          <t>2016</t>
        </is>
      </c>
      <c r="C25" s="64" t="n">
        <v>666.9</v>
      </c>
      <c r="D25" s="64" t="n">
        <v>15.9</v>
      </c>
      <c r="E25" s="64" t="n">
        <v>45.5</v>
      </c>
      <c r="F25" s="64" t="n">
        <v>165.4</v>
      </c>
      <c r="G25" s="64" t="n">
        <v>628.1</v>
      </c>
      <c r="H25" s="64" t="n">
        <v>0</v>
      </c>
      <c r="I25" s="64" t="n">
        <v>188.4</v>
      </c>
      <c r="J25" s="64" t="n">
        <v>140</v>
      </c>
      <c r="K25" s="64" t="n">
        <v>133</v>
      </c>
      <c r="L25" s="65" t="n">
        <v>0</v>
      </c>
    </row>
    <row r="26" ht="15" customHeight="1">
      <c r="A26" s="59" t="inlineStr">
        <is>
          <t>Métallurgie/IMEE</t>
        </is>
      </c>
      <c r="B26" s="60" t="inlineStr">
        <is>
          <t>2017</t>
        </is>
      </c>
      <c r="C26" s="61" t="n">
        <v>589.2</v>
      </c>
      <c r="D26" s="61" t="n">
        <v>10.2</v>
      </c>
      <c r="E26" s="61" t="n">
        <v>39.2</v>
      </c>
      <c r="F26" s="61" t="n">
        <v>109.9</v>
      </c>
      <c r="G26" s="61" t="n">
        <v>556.7</v>
      </c>
      <c r="H26" s="61" t="n">
        <v>0</v>
      </c>
      <c r="I26" s="61" t="n">
        <v>166.7</v>
      </c>
      <c r="J26" s="61" t="n">
        <v>162</v>
      </c>
      <c r="K26" s="61" t="n">
        <v>176</v>
      </c>
      <c r="L26" s="61" t="n">
        <v>4</v>
      </c>
    </row>
    <row r="27" ht="15" customHeight="1">
      <c r="A27" s="62" t="inlineStr">
        <is>
          <t>Métallurgie/IMEE</t>
        </is>
      </c>
      <c r="B27" s="63" t="inlineStr">
        <is>
          <t>2018</t>
        </is>
      </c>
      <c r="C27" s="64" t="n">
        <v>668.8</v>
      </c>
      <c r="D27" s="64" t="n">
        <v>11.1</v>
      </c>
      <c r="E27" s="64" t="n">
        <v>50.1</v>
      </c>
      <c r="F27" s="64" t="n">
        <v>171.2</v>
      </c>
      <c r="G27" s="64" t="n">
        <v>798.3</v>
      </c>
      <c r="H27" s="64" t="n">
        <v>3.2</v>
      </c>
      <c r="I27" s="64" t="n">
        <v>277.9</v>
      </c>
      <c r="J27" s="64" t="n">
        <v>136</v>
      </c>
      <c r="K27" s="64" t="n">
        <v>160</v>
      </c>
      <c r="L27" s="65" t="n">
        <v>0</v>
      </c>
    </row>
    <row r="28" ht="15" customHeight="1">
      <c r="A28" s="59" t="inlineStr">
        <is>
          <t>Métallurgie/IMEE</t>
        </is>
      </c>
      <c r="B28" s="60" t="inlineStr">
        <is>
          <t>2019</t>
        </is>
      </c>
      <c r="C28" s="61" t="n">
        <v>492.8</v>
      </c>
      <c r="D28" s="61" t="n">
        <v>13.9</v>
      </c>
      <c r="E28" s="61" t="n">
        <v>38.4</v>
      </c>
      <c r="F28" s="61" t="n">
        <v>136.5</v>
      </c>
      <c r="G28" s="61" t="n">
        <v>591.6</v>
      </c>
      <c r="H28" s="61" t="n">
        <v>9.800000000000001</v>
      </c>
      <c r="I28" s="61" t="n">
        <v>244</v>
      </c>
      <c r="J28" s="61" t="n">
        <v>164</v>
      </c>
      <c r="K28" s="61" t="n">
        <v>189</v>
      </c>
      <c r="L28" s="66" t="n">
        <v>25</v>
      </c>
    </row>
    <row r="29" ht="15" customHeight="1">
      <c r="A29" s="62" t="inlineStr">
        <is>
          <t>Chimie/Parachimie</t>
        </is>
      </c>
      <c r="B29" s="63" t="inlineStr">
        <is>
          <t>2015</t>
        </is>
      </c>
      <c r="C29" s="64" t="n">
        <v>411.8</v>
      </c>
      <c r="D29" s="64" t="n">
        <v>31.1</v>
      </c>
      <c r="E29" s="64" t="n">
        <v>56.5</v>
      </c>
      <c r="F29" s="64" t="n">
        <v>221.1</v>
      </c>
      <c r="G29" s="64" t="n">
        <v>413</v>
      </c>
      <c r="H29" s="64" t="n">
        <v>7.2</v>
      </c>
      <c r="I29" s="64" t="n">
        <v>283.8</v>
      </c>
      <c r="J29" s="64" t="n">
        <v>118</v>
      </c>
      <c r="K29" s="64" t="n">
        <v>141</v>
      </c>
      <c r="L29" s="64" t="n">
        <v>5</v>
      </c>
    </row>
    <row r="30" ht="15" customHeight="1">
      <c r="A30" s="59" t="inlineStr">
        <is>
          <t>Chimie/Parachimie</t>
        </is>
      </c>
      <c r="B30" s="60" t="inlineStr">
        <is>
          <t>2016</t>
        </is>
      </c>
      <c r="C30" s="61" t="n">
        <v>349</v>
      </c>
      <c r="D30" s="61" t="n">
        <v>26.1</v>
      </c>
      <c r="E30" s="61" t="n">
        <v>46.6</v>
      </c>
      <c r="F30" s="61" t="n">
        <v>157.2</v>
      </c>
      <c r="G30" s="61" t="n">
        <v>371.6</v>
      </c>
      <c r="H30" s="61" t="n">
        <v>20</v>
      </c>
      <c r="I30" s="61" t="n">
        <v>223.4</v>
      </c>
      <c r="J30" s="61" t="n">
        <v>118</v>
      </c>
      <c r="K30" s="61" t="n">
        <v>149</v>
      </c>
      <c r="L30" s="65" t="n">
        <v>0</v>
      </c>
    </row>
    <row r="31" ht="15" customHeight="1">
      <c r="A31" s="62" t="inlineStr">
        <is>
          <t>Chimie/Parachimie</t>
        </is>
      </c>
      <c r="B31" s="63" t="inlineStr">
        <is>
          <t>2017</t>
        </is>
      </c>
      <c r="C31" s="64" t="n">
        <v>387.2</v>
      </c>
      <c r="D31" s="64" t="n">
        <v>19.9</v>
      </c>
      <c r="E31" s="64" t="n">
        <v>40.7</v>
      </c>
      <c r="F31" s="64" t="n">
        <v>155.2</v>
      </c>
      <c r="G31" s="64" t="n">
        <v>378.8</v>
      </c>
      <c r="H31" s="64" t="n">
        <v>25.7</v>
      </c>
      <c r="I31" s="64" t="n">
        <v>249.5</v>
      </c>
      <c r="J31" s="64" t="n">
        <v>118</v>
      </c>
      <c r="K31" s="64" t="n">
        <v>138</v>
      </c>
      <c r="L31" s="65" t="n">
        <v>0</v>
      </c>
    </row>
    <row r="32" ht="15" customHeight="1">
      <c r="A32" s="59" t="inlineStr">
        <is>
          <t>Chimie/Parachimie</t>
        </is>
      </c>
      <c r="B32" s="60" t="inlineStr">
        <is>
          <t>2018</t>
        </is>
      </c>
      <c r="C32" s="61" t="n">
        <v>349.8</v>
      </c>
      <c r="D32" s="61" t="n">
        <v>12.9</v>
      </c>
      <c r="E32" s="61" t="n">
        <v>33.4</v>
      </c>
      <c r="F32" s="61" t="n">
        <v>123.2</v>
      </c>
      <c r="G32" s="61" t="n">
        <v>330.8</v>
      </c>
      <c r="H32" s="61" t="n">
        <v>33.9</v>
      </c>
      <c r="I32" s="61" t="n">
        <v>138.7</v>
      </c>
      <c r="J32" s="61" t="n">
        <v>129</v>
      </c>
      <c r="K32" s="61" t="n">
        <v>146</v>
      </c>
      <c r="L32" s="65" t="n">
        <v>0</v>
      </c>
    </row>
    <row r="33" ht="15" customHeight="1">
      <c r="A33" s="62" t="inlineStr">
        <is>
          <t>Chimie/Parachimie</t>
        </is>
      </c>
      <c r="B33" s="63" t="inlineStr">
        <is>
          <t>2019</t>
        </is>
      </c>
      <c r="C33" s="64" t="n">
        <v>302.9</v>
      </c>
      <c r="D33" s="64" t="n">
        <v>11.6</v>
      </c>
      <c r="E33" s="64" t="n">
        <v>34.4</v>
      </c>
      <c r="F33" s="64" t="n">
        <v>176.9</v>
      </c>
      <c r="G33" s="64" t="n">
        <v>372.4</v>
      </c>
      <c r="H33" s="64" t="n">
        <v>32.3</v>
      </c>
      <c r="I33" s="64" t="n">
        <v>257.7</v>
      </c>
      <c r="J33" s="64" t="n">
        <v>155</v>
      </c>
      <c r="K33" s="64" t="n">
        <v>163</v>
      </c>
      <c r="L33" s="66" t="n">
        <v>12.5</v>
      </c>
    </row>
    <row r="34" ht="15" customHeight="1">
      <c r="A34" s="59" t="inlineStr">
        <is>
          <t>Transport/Com.</t>
        </is>
      </c>
      <c r="B34" s="60" t="inlineStr">
        <is>
          <t>2015</t>
        </is>
      </c>
      <c r="C34" s="61" t="n">
        <v>311.2</v>
      </c>
      <c r="D34" s="61" t="n">
        <v>18.6</v>
      </c>
      <c r="E34" s="61" t="n">
        <v>48.1</v>
      </c>
      <c r="F34" s="61" t="n">
        <v>91.90000000000001</v>
      </c>
      <c r="G34" s="61" t="n">
        <v>410.6</v>
      </c>
      <c r="H34" s="61" t="n">
        <v>31.9</v>
      </c>
      <c r="I34" s="61" t="n">
        <v>105.9</v>
      </c>
      <c r="J34" s="61" t="n">
        <v>96</v>
      </c>
      <c r="K34" s="61" t="n">
        <v>301</v>
      </c>
      <c r="L34" s="65" t="n">
        <v>0</v>
      </c>
    </row>
    <row r="35" ht="15" customHeight="1">
      <c r="A35" s="62" t="inlineStr">
        <is>
          <t>Transport/Com.</t>
        </is>
      </c>
      <c r="B35" s="63" t="inlineStr">
        <is>
          <t>2016</t>
        </is>
      </c>
      <c r="C35" s="64" t="n">
        <v>299</v>
      </c>
      <c r="D35" s="64" t="n">
        <v>10</v>
      </c>
      <c r="E35" s="64" t="n">
        <v>23.9</v>
      </c>
      <c r="F35" s="64" t="n">
        <v>108</v>
      </c>
      <c r="G35" s="64" t="n">
        <v>297.1</v>
      </c>
      <c r="H35" s="64" t="n">
        <v>10.4</v>
      </c>
      <c r="I35" s="64" t="n">
        <v>71.09999999999999</v>
      </c>
      <c r="J35" s="64" t="n">
        <v>97</v>
      </c>
      <c r="K35" s="64" t="n">
        <v>195</v>
      </c>
      <c r="L35" s="65" t="n">
        <v>0</v>
      </c>
    </row>
    <row r="36" ht="15" customHeight="1">
      <c r="A36" s="59" t="inlineStr">
        <is>
          <t>Transport/Com.</t>
        </is>
      </c>
      <c r="B36" s="60" t="inlineStr">
        <is>
          <t>2017</t>
        </is>
      </c>
      <c r="C36" s="61" t="n">
        <v>332.7</v>
      </c>
      <c r="D36" s="61" t="n">
        <v>26.3</v>
      </c>
      <c r="E36" s="61" t="n">
        <v>74.59999999999999</v>
      </c>
      <c r="F36" s="61" t="n">
        <v>125.8</v>
      </c>
      <c r="G36" s="61" t="n">
        <v>525.2</v>
      </c>
      <c r="H36" s="61" t="n">
        <v>17.6</v>
      </c>
      <c r="I36" s="61" t="n">
        <v>66.7</v>
      </c>
      <c r="J36" s="61" t="n">
        <v>81</v>
      </c>
      <c r="K36" s="61" t="n">
        <v>281</v>
      </c>
      <c r="L36" s="65" t="n">
        <v>0</v>
      </c>
    </row>
    <row r="37" ht="15" customHeight="1">
      <c r="A37" s="62" t="inlineStr">
        <is>
          <t>Transport/Com.</t>
        </is>
      </c>
      <c r="B37" s="63" t="inlineStr">
        <is>
          <t>2018</t>
        </is>
      </c>
      <c r="C37" s="64" t="n">
        <v>290.6</v>
      </c>
      <c r="D37" s="64" t="n">
        <v>5.7</v>
      </c>
      <c r="E37" s="64" t="n">
        <v>24.4</v>
      </c>
      <c r="F37" s="64" t="n">
        <v>59.2</v>
      </c>
      <c r="G37" s="64" t="n">
        <v>295.8</v>
      </c>
      <c r="H37" s="64" t="n">
        <v>2.8</v>
      </c>
      <c r="I37" s="64" t="n">
        <v>33</v>
      </c>
      <c r="J37" s="64" t="n">
        <v>92</v>
      </c>
      <c r="K37" s="64" t="n">
        <v>169</v>
      </c>
      <c r="L37" s="65" t="n">
        <v>0</v>
      </c>
    </row>
    <row r="38" ht="15" customHeight="1">
      <c r="A38" s="59" t="inlineStr">
        <is>
          <t>Transport/Com.</t>
        </is>
      </c>
      <c r="B38" s="60" t="inlineStr">
        <is>
          <t>2019</t>
        </is>
      </c>
      <c r="C38" s="61" t="n">
        <v>362.7</v>
      </c>
      <c r="D38" s="61" t="n">
        <v>28.3</v>
      </c>
      <c r="E38" s="61" t="n">
        <v>41.2</v>
      </c>
      <c r="F38" s="61" t="n">
        <v>201.4</v>
      </c>
      <c r="G38" s="61" t="n">
        <v>526.1</v>
      </c>
      <c r="H38" s="61" t="n">
        <v>20.7</v>
      </c>
      <c r="I38" s="61" t="n">
        <v>147.2</v>
      </c>
      <c r="J38" s="61" t="n">
        <v>99</v>
      </c>
      <c r="K38" s="61" t="n">
        <v>355</v>
      </c>
      <c r="L38" s="65" t="n">
        <v>0</v>
      </c>
    </row>
    <row r="39" ht="15" customHeight="1">
      <c r="A39" s="62" t="inlineStr">
        <is>
          <t>Prom. Immobilière</t>
        </is>
      </c>
      <c r="B39" s="63" t="inlineStr">
        <is>
          <t>2015</t>
        </is>
      </c>
      <c r="C39" s="64" t="n">
        <v>596</v>
      </c>
      <c r="D39" s="64" t="n">
        <v>21</v>
      </c>
      <c r="E39" s="64" t="n">
        <v>27.1</v>
      </c>
      <c r="F39" s="64" t="n">
        <v>582.1</v>
      </c>
      <c r="G39" s="64" t="n">
        <v>2668.3</v>
      </c>
      <c r="H39" s="64" t="n">
        <v>649.5</v>
      </c>
      <c r="I39" s="64" t="n">
        <v>1267</v>
      </c>
      <c r="J39" s="64" t="n">
        <v>283</v>
      </c>
      <c r="K39" s="64" t="n">
        <v>607</v>
      </c>
      <c r="L39" s="66" t="n">
        <v>28.6</v>
      </c>
    </row>
    <row r="40" ht="15" customHeight="1">
      <c r="A40" s="59" t="inlineStr">
        <is>
          <t>Prom. Immobilière</t>
        </is>
      </c>
      <c r="B40" s="60" t="inlineStr">
        <is>
          <t>2016</t>
        </is>
      </c>
      <c r="C40" s="61" t="n">
        <v>698.3</v>
      </c>
      <c r="D40" s="61" t="n">
        <v>8.800000000000001</v>
      </c>
      <c r="E40" s="61" t="n">
        <v>47.8</v>
      </c>
      <c r="F40" s="61" t="n">
        <v>583.8</v>
      </c>
      <c r="G40" s="61" t="n">
        <v>2084.3</v>
      </c>
      <c r="H40" s="61" t="n">
        <v>633.7</v>
      </c>
      <c r="I40" s="61" t="n">
        <v>1136.3</v>
      </c>
      <c r="J40" s="61" t="n">
        <v>216</v>
      </c>
      <c r="K40" s="61" t="n">
        <v>454</v>
      </c>
      <c r="L40" s="67" t="n">
        <v>6.7</v>
      </c>
    </row>
    <row r="41" ht="15" customHeight="1">
      <c r="A41" s="62" t="inlineStr">
        <is>
          <t>Prom. Immobilière</t>
        </is>
      </c>
      <c r="B41" s="63" t="inlineStr">
        <is>
          <t>2017</t>
        </is>
      </c>
      <c r="C41" s="64" t="n">
        <v>312.7</v>
      </c>
      <c r="D41" s="64" t="n">
        <v>14.8</v>
      </c>
      <c r="E41" s="64" t="n">
        <v>32.7</v>
      </c>
      <c r="F41" s="64" t="n">
        <v>598.5</v>
      </c>
      <c r="G41" s="64" t="n">
        <v>1626.8</v>
      </c>
      <c r="H41" s="64" t="n">
        <v>669.3</v>
      </c>
      <c r="I41" s="64" t="n">
        <v>1158.9</v>
      </c>
      <c r="J41" s="64" t="n">
        <v>121</v>
      </c>
      <c r="K41" s="64" t="n">
        <v>615</v>
      </c>
      <c r="L41" s="65" t="n">
        <v>0</v>
      </c>
    </row>
    <row r="42" ht="15" customHeight="1">
      <c r="A42" s="59" t="inlineStr">
        <is>
          <t>Prom. Immobilière</t>
        </is>
      </c>
      <c r="B42" s="60" t="inlineStr">
        <is>
          <t>2018</t>
        </is>
      </c>
      <c r="C42" s="61" t="n">
        <v>184.1</v>
      </c>
      <c r="D42" s="61" t="n">
        <v>9.9</v>
      </c>
      <c r="E42" s="61" t="n">
        <v>38.3</v>
      </c>
      <c r="F42" s="61" t="n">
        <v>361.9</v>
      </c>
      <c r="G42" s="61" t="n">
        <v>1444.7</v>
      </c>
      <c r="H42" s="61" t="n">
        <v>242.6</v>
      </c>
      <c r="I42" s="61" t="n">
        <v>766.3</v>
      </c>
      <c r="J42" s="61" t="n">
        <v>418</v>
      </c>
      <c r="K42" s="61" t="n">
        <v>627</v>
      </c>
      <c r="L42" s="66" t="n">
        <v>11.1</v>
      </c>
    </row>
    <row r="43" ht="15" customHeight="1">
      <c r="A43" s="62" t="inlineStr">
        <is>
          <t>Prom. Immobilière</t>
        </is>
      </c>
      <c r="B43" s="63" t="inlineStr">
        <is>
          <t>2019</t>
        </is>
      </c>
      <c r="C43" s="64" t="n">
        <v>293.1</v>
      </c>
      <c r="D43" s="64" t="n">
        <v>-14.6</v>
      </c>
      <c r="E43" s="64" t="n">
        <v>-6.8</v>
      </c>
      <c r="F43" s="64" t="n">
        <v>188.7</v>
      </c>
      <c r="G43" s="64" t="n">
        <v>1455</v>
      </c>
      <c r="H43" s="64" t="n">
        <v>300.7</v>
      </c>
      <c r="I43" s="64" t="n">
        <v>690.8</v>
      </c>
      <c r="J43" s="64" t="n">
        <v>181</v>
      </c>
      <c r="K43" s="64" t="n">
        <v>572</v>
      </c>
      <c r="L43" s="66" t="n">
        <v>20</v>
      </c>
    </row>
    <row r="44" ht="15" customHeight="1">
      <c r="A44" s="59" t="inlineStr">
        <is>
          <t>Ind. Manufacturières</t>
        </is>
      </c>
      <c r="B44" s="60" t="inlineStr">
        <is>
          <t>2015</t>
        </is>
      </c>
      <c r="C44" s="61" t="n">
        <v>425.1</v>
      </c>
      <c r="D44" s="61" t="n">
        <v>9.300000000000001</v>
      </c>
      <c r="E44" s="61" t="n">
        <v>53.4</v>
      </c>
      <c r="F44" s="61" t="n">
        <v>167.4</v>
      </c>
      <c r="G44" s="61" t="n">
        <v>390.4</v>
      </c>
      <c r="H44" s="61" t="n">
        <v>26.8</v>
      </c>
      <c r="I44" s="61" t="n">
        <v>446.8</v>
      </c>
      <c r="J44" s="61" t="n">
        <v>94</v>
      </c>
      <c r="K44" s="61" t="n">
        <v>85</v>
      </c>
      <c r="L44" s="65" t="n">
        <v>0</v>
      </c>
    </row>
    <row r="45" ht="15" customHeight="1">
      <c r="A45" s="62" t="inlineStr">
        <is>
          <t>Ind. Manufacturières</t>
        </is>
      </c>
      <c r="B45" s="63" t="inlineStr">
        <is>
          <t>2016</t>
        </is>
      </c>
      <c r="C45" s="64" t="n">
        <v>421.5</v>
      </c>
      <c r="D45" s="64" t="n">
        <v>9.4</v>
      </c>
      <c r="E45" s="64" t="n">
        <v>44.8</v>
      </c>
      <c r="F45" s="64" t="n">
        <v>187</v>
      </c>
      <c r="G45" s="64" t="n">
        <v>393.5</v>
      </c>
      <c r="H45" s="64" t="n">
        <v>3.1</v>
      </c>
      <c r="I45" s="64" t="n">
        <v>524.4</v>
      </c>
      <c r="J45" s="64" t="n">
        <v>114</v>
      </c>
      <c r="K45" s="64" t="n">
        <v>149</v>
      </c>
      <c r="L45" s="65" t="n">
        <v>0</v>
      </c>
    </row>
    <row r="46" ht="15" customHeight="1">
      <c r="A46" s="59" t="inlineStr">
        <is>
          <t>Ind. Manufacturières</t>
        </is>
      </c>
      <c r="B46" s="60" t="inlineStr">
        <is>
          <t>2017</t>
        </is>
      </c>
      <c r="C46" s="61" t="n">
        <v>403</v>
      </c>
      <c r="D46" s="61" t="n">
        <v>4.2</v>
      </c>
      <c r="E46" s="61" t="n">
        <v>24.5</v>
      </c>
      <c r="F46" s="61" t="n">
        <v>162.2</v>
      </c>
      <c r="G46" s="61" t="n">
        <v>384.5</v>
      </c>
      <c r="H46" s="61" t="n">
        <v>9.800000000000001</v>
      </c>
      <c r="I46" s="61" t="n">
        <v>259.4</v>
      </c>
      <c r="J46" s="61" t="n">
        <v>97</v>
      </c>
      <c r="K46" s="61" t="n">
        <v>126</v>
      </c>
      <c r="L46" s="65" t="n">
        <v>0</v>
      </c>
    </row>
    <row r="47" ht="15" customHeight="1">
      <c r="A47" s="62" t="inlineStr">
        <is>
          <t>Ind. Manufacturières</t>
        </is>
      </c>
      <c r="B47" s="63" t="inlineStr">
        <is>
          <t>2018</t>
        </is>
      </c>
      <c r="C47" s="64" t="n">
        <v>257.9</v>
      </c>
      <c r="D47" s="64" t="n">
        <v>1.2</v>
      </c>
      <c r="E47" s="64" t="n">
        <v>16.3</v>
      </c>
      <c r="F47" s="64" t="n">
        <v>136.9</v>
      </c>
      <c r="G47" s="64" t="n">
        <v>323.3</v>
      </c>
      <c r="H47" s="64" t="n">
        <v>7.1</v>
      </c>
      <c r="I47" s="64" t="n">
        <v>180.4</v>
      </c>
      <c r="J47" s="64" t="n">
        <v>89</v>
      </c>
      <c r="K47" s="64" t="n">
        <v>107</v>
      </c>
      <c r="L47" s="66" t="n">
        <v>14.3</v>
      </c>
    </row>
    <row r="48" ht="15" customHeight="1">
      <c r="A48" s="59" t="inlineStr">
        <is>
          <t>Ind. Manufacturières</t>
        </is>
      </c>
      <c r="B48" s="60" t="inlineStr">
        <is>
          <t>2019</t>
        </is>
      </c>
      <c r="C48" s="61" t="n">
        <v>388</v>
      </c>
      <c r="D48" s="61" t="n">
        <v>10.1</v>
      </c>
      <c r="E48" s="61" t="n">
        <v>42</v>
      </c>
      <c r="F48" s="61" t="n">
        <v>182.1</v>
      </c>
      <c r="G48" s="61" t="n">
        <v>448.1</v>
      </c>
      <c r="H48" s="61" t="n">
        <v>10.1</v>
      </c>
      <c r="I48" s="61" t="n">
        <v>302.3</v>
      </c>
      <c r="J48" s="61" t="n">
        <v>95</v>
      </c>
      <c r="K48" s="61" t="n">
        <v>120</v>
      </c>
      <c r="L48" s="65" t="n">
        <v>0</v>
      </c>
    </row>
    <row r="49" ht="15" customHeight="1">
      <c r="A49" s="62" t="inlineStr">
        <is>
          <t>Élec./Gaz/Eau</t>
        </is>
      </c>
      <c r="B49" s="63" t="inlineStr">
        <is>
          <t>2015</t>
        </is>
      </c>
      <c r="C49" s="64" t="n">
        <v>598.2</v>
      </c>
      <c r="D49" s="64" t="n">
        <v>13</v>
      </c>
      <c r="E49" s="64" t="n">
        <v>31.6</v>
      </c>
      <c r="F49" s="64" t="n">
        <v>38.1</v>
      </c>
      <c r="G49" s="64" t="n">
        <v>322.6</v>
      </c>
      <c r="H49" s="64" t="n">
        <v>83.7</v>
      </c>
      <c r="I49" s="64" t="n">
        <v>108</v>
      </c>
      <c r="J49" s="64" t="n">
        <v>68</v>
      </c>
      <c r="K49" s="64" t="n">
        <v>146</v>
      </c>
      <c r="L49" s="65" t="n">
        <v>0</v>
      </c>
    </row>
    <row r="50" ht="15" customHeight="1">
      <c r="A50" s="59" t="inlineStr">
        <is>
          <t>Élec./Gaz/Eau</t>
        </is>
      </c>
      <c r="B50" s="60" t="inlineStr">
        <is>
          <t>2016</t>
        </is>
      </c>
      <c r="C50" s="61" t="n">
        <v>967.9</v>
      </c>
      <c r="D50" s="61" t="n">
        <v>75.59999999999999</v>
      </c>
      <c r="E50" s="61" t="n">
        <v>328.8</v>
      </c>
      <c r="F50" s="61" t="n">
        <v>446</v>
      </c>
      <c r="G50" s="61" t="n">
        <v>1393.5</v>
      </c>
      <c r="H50" s="61" t="n">
        <v>373.3</v>
      </c>
      <c r="I50" s="61" t="n">
        <v>634.2</v>
      </c>
      <c r="J50" s="61" t="n">
        <v>103</v>
      </c>
      <c r="K50" s="61" t="n">
        <v>117</v>
      </c>
      <c r="L50" s="65" t="n">
        <v>0</v>
      </c>
    </row>
    <row r="51" ht="15" customHeight="1">
      <c r="A51" s="62" t="inlineStr">
        <is>
          <t>Élec./Gaz/Eau</t>
        </is>
      </c>
      <c r="B51" s="63" t="inlineStr">
        <is>
          <t>2017</t>
        </is>
      </c>
      <c r="C51" s="64" t="n">
        <v>748.7</v>
      </c>
      <c r="D51" s="64" t="n">
        <v>32.5</v>
      </c>
      <c r="E51" s="64" t="n">
        <v>65</v>
      </c>
      <c r="F51" s="64" t="n">
        <v>66.8</v>
      </c>
      <c r="G51" s="64" t="n">
        <v>388.5</v>
      </c>
      <c r="H51" s="64" t="n">
        <v>116.1</v>
      </c>
      <c r="I51" s="64" t="n">
        <v>291.5</v>
      </c>
      <c r="J51" s="64" t="n">
        <v>81</v>
      </c>
      <c r="K51" s="64" t="n">
        <v>85</v>
      </c>
      <c r="L51" s="67" t="n">
        <v>10</v>
      </c>
    </row>
    <row r="52" ht="15" customHeight="1">
      <c r="A52" s="59" t="inlineStr">
        <is>
          <t>Élec./Gaz/Eau</t>
        </is>
      </c>
      <c r="B52" s="60" t="inlineStr">
        <is>
          <t>2018</t>
        </is>
      </c>
      <c r="C52" s="61" t="n">
        <v>715.3</v>
      </c>
      <c r="D52" s="61" t="n">
        <v>30.9</v>
      </c>
      <c r="E52" s="61" t="n">
        <v>52.8</v>
      </c>
      <c r="F52" s="61" t="n">
        <v>51.5</v>
      </c>
      <c r="G52" s="61" t="n">
        <v>284.5</v>
      </c>
      <c r="H52" s="61" t="n">
        <v>38.5</v>
      </c>
      <c r="I52" s="61" t="n">
        <v>201</v>
      </c>
      <c r="J52" s="61" t="n">
        <v>142</v>
      </c>
      <c r="K52" s="61" t="n">
        <v>67</v>
      </c>
      <c r="L52" s="66" t="n">
        <v>14.3</v>
      </c>
    </row>
    <row r="53" ht="15" customHeight="1">
      <c r="A53" s="62" t="inlineStr">
        <is>
          <t>Élec./Gaz/Eau</t>
        </is>
      </c>
      <c r="B53" s="63" t="inlineStr">
        <is>
          <t>2019</t>
        </is>
      </c>
      <c r="C53" s="64" t="n">
        <v>661.2</v>
      </c>
      <c r="D53" s="64" t="n">
        <v>11.4</v>
      </c>
      <c r="E53" s="64" t="n">
        <v>73</v>
      </c>
      <c r="F53" s="64" t="n">
        <v>185.2</v>
      </c>
      <c r="G53" s="64" t="n">
        <v>393.5</v>
      </c>
      <c r="H53" s="64" t="n">
        <v>1055</v>
      </c>
      <c r="I53" s="64" t="n">
        <v>1501.4</v>
      </c>
      <c r="J53" s="64" t="n">
        <v>74</v>
      </c>
      <c r="K53" s="64" t="n">
        <v>116</v>
      </c>
      <c r="L53" s="65" t="n">
        <v>0</v>
      </c>
    </row>
  </sheetData>
  <autoFilter ref="A3:L53"/>
  <mergeCells count="1">
    <mergeCell ref="A1:L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2026-03-28T18:08:53Z</dcterms:created>
  <dcterms:modified xmlns:dcterms="http://purl.org/dc/terms/" xmlns:xsi="http://www.w3.org/2001/XMLSchema-instance" xsi:type="dcterms:W3CDTF">2026-03-28T18:08:54Z</dcterms:modified>
</cp:coreProperties>
</file>